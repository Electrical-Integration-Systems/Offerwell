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ighita\Downloads\"/>
    </mc:Choice>
  </mc:AlternateContent>
  <xr:revisionPtr revIDLastSave="0" documentId="13_ncr:1_{F16C39C7-3533-41EB-923A-F88C5A17F530}" xr6:coauthVersionLast="47" xr6:coauthVersionMax="47" xr10:uidLastSave="{00000000-0000-0000-0000-000000000000}"/>
  <bookViews>
    <workbookView xWindow="-28920" yWindow="-120" windowWidth="29040" windowHeight="15720" xr2:uid="{7A09DC60-0717-4D56-89A5-25E716DF0502}"/>
  </bookViews>
  <sheets>
    <sheet name="F3_CTCS" sheetId="2" r:id="rId1"/>
    <sheet name="F4_CTCS" sheetId="3" r:id="rId2"/>
  </sheets>
  <externalReferences>
    <externalReference r:id="rId3"/>
    <externalReference r:id="rId4"/>
  </externalReferences>
  <definedNames>
    <definedName name="_Ref94960687" localSheetId="0">F3_CTCS!#REF!</definedName>
    <definedName name="_Toc400570851" localSheetId="0">#REF!</definedName>
    <definedName name="coef_glafuri_vitrata">[1]Start!$E$19</definedName>
    <definedName name="coef_opac">[1]Start!$E$16</definedName>
    <definedName name="coef_planeitate">[1]Start!$E$21</definedName>
    <definedName name="coef_schela">[1]Start!$E$17</definedName>
    <definedName name="coef_subsol">[1]Start!$E$22</definedName>
    <definedName name="coef_vitrata">[1]Start!$E$18</definedName>
    <definedName name="cota_TVA">[2]DG!$C$11</definedName>
    <definedName name="ct_COL">[1]Start!$B$29</definedName>
    <definedName name="curs_euro">[1]Start!$B$25</definedName>
    <definedName name="_xlnm.Print_Area" localSheetId="0">F3_CTCS!$A$15:$E$192</definedName>
    <definedName name="_xlnm.Print_Area" localSheetId="1">F4_CTCS!$B$2:$H$47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38" i="3" l="1"/>
  <c r="G37" i="3"/>
  <c r="G36" i="3"/>
  <c r="G35" i="3"/>
  <c r="G34" i="3"/>
  <c r="G33" i="3"/>
  <c r="G32" i="3"/>
  <c r="O33" i="3"/>
  <c r="O34" i="3"/>
  <c r="O35" i="3"/>
  <c r="O36" i="3"/>
  <c r="O37" i="3"/>
  <c r="O38" i="3"/>
  <c r="O32" i="3"/>
  <c r="K33" i="3"/>
  <c r="K34" i="3"/>
  <c r="K35" i="3"/>
  <c r="K36" i="3"/>
  <c r="K37" i="3"/>
  <c r="K38" i="3"/>
  <c r="K32" i="3"/>
  <c r="H191" i="2"/>
  <c r="H190" i="2"/>
  <c r="H189" i="2"/>
  <c r="H188" i="2"/>
  <c r="H187" i="2"/>
  <c r="H186" i="2"/>
  <c r="H185" i="2"/>
  <c r="H180" i="2"/>
  <c r="H179" i="2"/>
  <c r="H178" i="2"/>
  <c r="H177" i="2"/>
  <c r="H176" i="2"/>
  <c r="H175" i="2"/>
  <c r="H170" i="2"/>
  <c r="H169" i="2"/>
  <c r="H168" i="2"/>
  <c r="H167" i="2"/>
  <c r="H166" i="2"/>
  <c r="H165" i="2"/>
  <c r="H164" i="2"/>
  <c r="H159" i="2"/>
  <c r="H158" i="2"/>
  <c r="H157" i="2"/>
  <c r="H156" i="2"/>
  <c r="H155" i="2"/>
  <c r="H154" i="2"/>
  <c r="H153" i="2"/>
  <c r="H152" i="2"/>
  <c r="H151" i="2"/>
  <c r="H150" i="2"/>
  <c r="H149" i="2"/>
  <c r="H148" i="2"/>
  <c r="H147" i="2"/>
  <c r="H146" i="2"/>
  <c r="H145" i="2"/>
  <c r="H144" i="2"/>
  <c r="H143" i="2"/>
  <c r="H137" i="2"/>
  <c r="H136" i="2"/>
  <c r="H135" i="2"/>
  <c r="H134" i="2"/>
  <c r="H133" i="2"/>
  <c r="H132" i="2"/>
  <c r="H131" i="2"/>
  <c r="H130" i="2"/>
  <c r="H129" i="2"/>
  <c r="H128" i="2"/>
  <c r="H127" i="2"/>
  <c r="H126" i="2"/>
  <c r="H125" i="2"/>
  <c r="H124" i="2"/>
  <c r="H123" i="2"/>
  <c r="H122" i="2"/>
  <c r="H121" i="2"/>
  <c r="H120" i="2"/>
  <c r="H119" i="2"/>
  <c r="H118" i="2"/>
  <c r="H117" i="2"/>
  <c r="H116" i="2"/>
  <c r="H115" i="2"/>
  <c r="H114" i="2"/>
  <c r="H108" i="2"/>
  <c r="H107" i="2"/>
  <c r="H106" i="2"/>
  <c r="H105" i="2"/>
  <c r="H104" i="2"/>
  <c r="H103" i="2"/>
  <c r="H102" i="2"/>
  <c r="H101" i="2"/>
  <c r="H100" i="2"/>
  <c r="H99" i="2"/>
  <c r="H98" i="2"/>
  <c r="H97" i="2"/>
  <c r="H96" i="2"/>
  <c r="H95" i="2"/>
  <c r="H94" i="2"/>
  <c r="H93" i="2"/>
  <c r="H92" i="2"/>
  <c r="H91" i="2"/>
  <c r="H90" i="2"/>
  <c r="H89" i="2"/>
  <c r="H88" i="2"/>
  <c r="H87" i="2"/>
  <c r="H86" i="2"/>
  <c r="H85" i="2"/>
  <c r="H84" i="2"/>
  <c r="H83" i="2"/>
  <c r="H82" i="2"/>
  <c r="H81" i="2"/>
  <c r="H80" i="2"/>
  <c r="H79" i="2"/>
  <c r="H78" i="2"/>
  <c r="H73" i="2"/>
  <c r="H72" i="2"/>
  <c r="H71" i="2"/>
  <c r="H70" i="2"/>
  <c r="H69" i="2"/>
  <c r="H68" i="2"/>
  <c r="H67" i="2"/>
  <c r="H66" i="2"/>
  <c r="H65" i="2"/>
  <c r="H64" i="2"/>
  <c r="H63" i="2"/>
  <c r="H62" i="2"/>
  <c r="H61" i="2"/>
  <c r="H60" i="2"/>
  <c r="H59" i="2"/>
  <c r="H58" i="2"/>
  <c r="H57" i="2"/>
  <c r="H56" i="2"/>
  <c r="H51" i="2"/>
  <c r="H50" i="2"/>
  <c r="H49" i="2"/>
  <c r="H48" i="2"/>
  <c r="H47" i="2"/>
  <c r="H46" i="2"/>
  <c r="H45" i="2"/>
  <c r="H44" i="2"/>
  <c r="H43" i="2"/>
  <c r="H42" i="2"/>
  <c r="H41" i="2"/>
  <c r="H35" i="2"/>
  <c r="E35" i="2"/>
  <c r="H18" i="2" l="1"/>
  <c r="G18" i="2"/>
  <c r="F18" i="2" s="1"/>
  <c r="K18" i="2" s="1"/>
  <c r="H19" i="2"/>
  <c r="G19" i="2"/>
  <c r="F19" i="2" s="1"/>
  <c r="K19" i="2" s="1"/>
  <c r="H20" i="2"/>
  <c r="G20" i="2"/>
  <c r="G21" i="2"/>
  <c r="H21" i="2"/>
  <c r="G22" i="2"/>
  <c r="H22" i="2"/>
  <c r="H23" i="2"/>
  <c r="G23" i="2"/>
  <c r="G24" i="2"/>
  <c r="H24" i="2"/>
  <c r="H25" i="2"/>
  <c r="G25" i="2"/>
  <c r="F25" i="2" s="1"/>
  <c r="K25" i="2" s="1"/>
  <c r="G26" i="2"/>
  <c r="H26" i="2"/>
  <c r="G27" i="2"/>
  <c r="H27" i="2"/>
  <c r="G28" i="2"/>
  <c r="H28" i="2"/>
  <c r="G29" i="2"/>
  <c r="H29" i="2"/>
  <c r="G30" i="2"/>
  <c r="G31" i="2"/>
  <c r="G32" i="2"/>
  <c r="G33" i="2"/>
  <c r="G34" i="2"/>
  <c r="H17" i="2"/>
  <c r="G17" i="2"/>
  <c r="G152" i="2"/>
  <c r="F152" i="2" s="1"/>
  <c r="K152" i="2" s="1"/>
  <c r="E107" i="2"/>
  <c r="G35" i="2"/>
  <c r="F35" i="2" s="1"/>
  <c r="K35" i="2" s="1"/>
  <c r="G47" i="2"/>
  <c r="F47" i="2" s="1"/>
  <c r="K47" i="2" s="1"/>
  <c r="G50" i="2"/>
  <c r="F50" i="2" s="1"/>
  <c r="K50" i="2" s="1"/>
  <c r="G68" i="2"/>
  <c r="F68" i="2" s="1"/>
  <c r="K68" i="2" s="1"/>
  <c r="G85" i="2"/>
  <c r="F85" i="2" s="1"/>
  <c r="K85" i="2" s="1"/>
  <c r="G88" i="2"/>
  <c r="F88" i="2" s="1"/>
  <c r="K88" i="2" s="1"/>
  <c r="G100" i="2"/>
  <c r="F100" i="2" s="1"/>
  <c r="G101" i="2"/>
  <c r="F101" i="2" s="1"/>
  <c r="G102" i="2"/>
  <c r="F102" i="2" s="1"/>
  <c r="G103" i="2"/>
  <c r="F103" i="2" s="1"/>
  <c r="G104" i="2"/>
  <c r="F104" i="2" s="1"/>
  <c r="G105" i="2"/>
  <c r="F105" i="2" s="1"/>
  <c r="G106" i="2"/>
  <c r="F106" i="2" s="1"/>
  <c r="G119" i="2"/>
  <c r="F119" i="2" s="1"/>
  <c r="K119" i="2" s="1"/>
  <c r="G121" i="2"/>
  <c r="F121" i="2" s="1"/>
  <c r="K121" i="2" s="1"/>
  <c r="G127" i="2"/>
  <c r="F127" i="2" s="1"/>
  <c r="G130" i="2"/>
  <c r="F130" i="2" s="1"/>
  <c r="K130" i="2" s="1"/>
  <c r="G132" i="2"/>
  <c r="F132" i="2" s="1"/>
  <c r="G154" i="2"/>
  <c r="F154" i="2" s="1"/>
  <c r="G169" i="2"/>
  <c r="F169" i="2" s="1"/>
  <c r="K169" i="2" s="1"/>
  <c r="G170" i="2"/>
  <c r="F170" i="2" s="1"/>
  <c r="G191" i="2"/>
  <c r="F191" i="2" s="1"/>
  <c r="K191" i="2" s="1"/>
  <c r="F17" i="2" l="1"/>
  <c r="K17" i="2" s="1"/>
  <c r="F23" i="2"/>
  <c r="K23" i="2" s="1"/>
  <c r="F20" i="2"/>
  <c r="K20" i="2" s="1"/>
  <c r="H30" i="2"/>
  <c r="F30" i="2" s="1"/>
  <c r="K30" i="2" s="1"/>
  <c r="H31" i="2"/>
  <c r="F31" i="2" s="1"/>
  <c r="K31" i="2" s="1"/>
  <c r="H32" i="2"/>
  <c r="F32" i="2" s="1"/>
  <c r="K32" i="2" s="1"/>
  <c r="H33" i="2"/>
  <c r="F33" i="2" s="1"/>
  <c r="K33" i="2" s="1"/>
  <c r="H34" i="2"/>
  <c r="F34" i="2" s="1"/>
  <c r="K34" i="2" s="1"/>
  <c r="F21" i="2"/>
  <c r="K21" i="2" s="1"/>
  <c r="F22" i="2"/>
  <c r="K22" i="2" s="1"/>
  <c r="F24" i="2"/>
  <c r="K24" i="2" s="1"/>
  <c r="F26" i="2"/>
  <c r="K26" i="2" s="1"/>
  <c r="F27" i="2"/>
  <c r="K27" i="2" s="1"/>
  <c r="F28" i="2"/>
  <c r="K28" i="2" s="1"/>
  <c r="F29" i="2"/>
  <c r="K29" i="2" s="1"/>
  <c r="G41" i="2"/>
  <c r="F41" i="2" s="1"/>
  <c r="K41" i="2" s="1"/>
  <c r="G42" i="2"/>
  <c r="F42" i="2" s="1"/>
  <c r="K42" i="2" s="1"/>
  <c r="G43" i="2"/>
  <c r="F43" i="2" s="1"/>
  <c r="K43" i="2" s="1"/>
  <c r="G44" i="2"/>
  <c r="F44" i="2" s="1"/>
  <c r="K44" i="2" s="1"/>
  <c r="G45" i="2"/>
  <c r="F45" i="2" s="1"/>
  <c r="K45" i="2" s="1"/>
  <c r="G46" i="2"/>
  <c r="F46" i="2" s="1"/>
  <c r="K46" i="2" s="1"/>
  <c r="G48" i="2"/>
  <c r="F48" i="2" s="1"/>
  <c r="K48" i="2" s="1"/>
  <c r="G49" i="2"/>
  <c r="F49" i="2" s="1"/>
  <c r="K49" i="2" s="1"/>
  <c r="G51" i="2"/>
  <c r="F51" i="2" s="1"/>
  <c r="K51" i="2" s="1"/>
  <c r="G56" i="2"/>
  <c r="F56" i="2" s="1"/>
  <c r="K56" i="2" s="1"/>
  <c r="G57" i="2"/>
  <c r="F57" i="2" s="1"/>
  <c r="K57" i="2" s="1"/>
  <c r="G58" i="2"/>
  <c r="F58" i="2" s="1"/>
  <c r="K58" i="2" s="1"/>
  <c r="G59" i="2"/>
  <c r="F59" i="2" s="1"/>
  <c r="K59" i="2" s="1"/>
  <c r="G60" i="2"/>
  <c r="F60" i="2" s="1"/>
  <c r="K60" i="2" s="1"/>
  <c r="G61" i="2"/>
  <c r="F61" i="2" s="1"/>
  <c r="K61" i="2" s="1"/>
  <c r="G62" i="2"/>
  <c r="F62" i="2" s="1"/>
  <c r="K62" i="2" s="1"/>
  <c r="G63" i="2"/>
  <c r="F63" i="2" s="1"/>
  <c r="K63" i="2" s="1"/>
  <c r="G64" i="2"/>
  <c r="F64" i="2" s="1"/>
  <c r="K64" i="2" s="1"/>
  <c r="G65" i="2"/>
  <c r="F65" i="2" s="1"/>
  <c r="K65" i="2" s="1"/>
  <c r="G66" i="2"/>
  <c r="F66" i="2" s="1"/>
  <c r="K66" i="2" s="1"/>
  <c r="G67" i="2"/>
  <c r="F67" i="2" s="1"/>
  <c r="K67" i="2" s="1"/>
  <c r="G69" i="2"/>
  <c r="F69" i="2" s="1"/>
  <c r="K69" i="2" s="1"/>
  <c r="G70" i="2"/>
  <c r="F70" i="2" s="1"/>
  <c r="K70" i="2" s="1"/>
  <c r="G71" i="2"/>
  <c r="F71" i="2" s="1"/>
  <c r="K71" i="2" s="1"/>
  <c r="G72" i="2"/>
  <c r="F72" i="2" s="1"/>
  <c r="K72" i="2" s="1"/>
  <c r="G73" i="2"/>
  <c r="F73" i="2" s="1"/>
  <c r="K73" i="2" s="1"/>
  <c r="G78" i="2"/>
  <c r="F78" i="2" s="1"/>
  <c r="K78" i="2" s="1"/>
  <c r="G79" i="2"/>
  <c r="F79" i="2" s="1"/>
  <c r="K79" i="2" s="1"/>
  <c r="G80" i="2"/>
  <c r="F80" i="2" s="1"/>
  <c r="K80" i="2" s="1"/>
  <c r="G81" i="2"/>
  <c r="F81" i="2" s="1"/>
  <c r="K81" i="2" s="1"/>
  <c r="G82" i="2"/>
  <c r="F82" i="2" s="1"/>
  <c r="K82" i="2" s="1"/>
  <c r="G83" i="2"/>
  <c r="F83" i="2" s="1"/>
  <c r="K83" i="2" s="1"/>
  <c r="G84" i="2"/>
  <c r="F84" i="2" s="1"/>
  <c r="K84" i="2" s="1"/>
  <c r="G86" i="2"/>
  <c r="F86" i="2" s="1"/>
  <c r="K86" i="2" s="1"/>
  <c r="G87" i="2"/>
  <c r="F87" i="2" s="1"/>
  <c r="K87" i="2" s="1"/>
  <c r="G89" i="2"/>
  <c r="F89" i="2" s="1"/>
  <c r="K89" i="2" s="1"/>
  <c r="G90" i="2"/>
  <c r="F90" i="2" s="1"/>
  <c r="K90" i="2" s="1"/>
  <c r="G91" i="2"/>
  <c r="F91" i="2" s="1"/>
  <c r="K91" i="2" s="1"/>
  <c r="G92" i="2"/>
  <c r="F92" i="2" s="1"/>
  <c r="K92" i="2" s="1"/>
  <c r="G93" i="2"/>
  <c r="F93" i="2" s="1"/>
  <c r="K93" i="2" s="1"/>
  <c r="G94" i="2"/>
  <c r="F94" i="2" s="1"/>
  <c r="K94" i="2" s="1"/>
  <c r="G95" i="2"/>
  <c r="F95" i="2" s="1"/>
  <c r="K95" i="2" s="1"/>
  <c r="G96" i="2"/>
  <c r="F96" i="2" s="1"/>
  <c r="K96" i="2" s="1"/>
  <c r="G97" i="2"/>
  <c r="F97" i="2" s="1"/>
  <c r="K97" i="2" s="1"/>
  <c r="G98" i="2"/>
  <c r="F98" i="2" s="1"/>
  <c r="K98" i="2" s="1"/>
  <c r="G99" i="2"/>
  <c r="F99" i="2" s="1"/>
  <c r="K99" i="2" s="1"/>
  <c r="G107" i="2"/>
  <c r="F107" i="2" s="1"/>
  <c r="K107" i="2" s="1"/>
  <c r="G114" i="2"/>
  <c r="F114" i="2" s="1"/>
  <c r="K114" i="2" s="1"/>
  <c r="G115" i="2"/>
  <c r="F115" i="2" s="1"/>
  <c r="K115" i="2" s="1"/>
  <c r="G116" i="2"/>
  <c r="F116" i="2" s="1"/>
  <c r="K116" i="2" s="1"/>
  <c r="G117" i="2"/>
  <c r="F117" i="2" s="1"/>
  <c r="K117" i="2" s="1"/>
  <c r="G118" i="2"/>
  <c r="F118" i="2" s="1"/>
  <c r="K118" i="2" s="1"/>
  <c r="G120" i="2"/>
  <c r="F120" i="2" s="1"/>
  <c r="K120" i="2" s="1"/>
  <c r="G122" i="2"/>
  <c r="F122" i="2" s="1"/>
  <c r="K122" i="2" s="1"/>
  <c r="G123" i="2"/>
  <c r="F123" i="2" s="1"/>
  <c r="K123" i="2" s="1"/>
  <c r="G124" i="2"/>
  <c r="F124" i="2" s="1"/>
  <c r="K124" i="2" s="1"/>
  <c r="G125" i="2"/>
  <c r="F125" i="2" s="1"/>
  <c r="K125" i="2" s="1"/>
  <c r="G126" i="2"/>
  <c r="F126" i="2" s="1"/>
  <c r="K126" i="2" s="1"/>
  <c r="G128" i="2"/>
  <c r="F128" i="2" s="1"/>
  <c r="K128" i="2" s="1"/>
  <c r="G129" i="2"/>
  <c r="F129" i="2" s="1"/>
  <c r="K129" i="2" s="1"/>
  <c r="G131" i="2"/>
  <c r="F131" i="2" s="1"/>
  <c r="K131" i="2" s="1"/>
  <c r="G133" i="2"/>
  <c r="F133" i="2" s="1"/>
  <c r="K133" i="2" s="1"/>
  <c r="G134" i="2"/>
  <c r="F134" i="2" s="1"/>
  <c r="K134" i="2" s="1"/>
  <c r="G135" i="2"/>
  <c r="F135" i="2" s="1"/>
  <c r="K135" i="2" s="1"/>
  <c r="G136" i="2"/>
  <c r="F136" i="2" s="1"/>
  <c r="K136" i="2" s="1"/>
  <c r="G137" i="2"/>
  <c r="F137" i="2" s="1"/>
  <c r="K137" i="2" s="1"/>
  <c r="G143" i="2"/>
  <c r="F143" i="2" s="1"/>
  <c r="K143" i="2" s="1"/>
  <c r="G144" i="2"/>
  <c r="F144" i="2" s="1"/>
  <c r="K144" i="2" s="1"/>
  <c r="G145" i="2"/>
  <c r="F145" i="2" s="1"/>
  <c r="K145" i="2" s="1"/>
  <c r="G146" i="2"/>
  <c r="F146" i="2" s="1"/>
  <c r="K146" i="2" s="1"/>
  <c r="G147" i="2"/>
  <c r="F147" i="2" s="1"/>
  <c r="K147" i="2" s="1"/>
  <c r="G148" i="2"/>
  <c r="F148" i="2" s="1"/>
  <c r="K148" i="2" s="1"/>
  <c r="G149" i="2"/>
  <c r="F149" i="2" s="1"/>
  <c r="K149" i="2" s="1"/>
  <c r="G150" i="2"/>
  <c r="F150" i="2" s="1"/>
  <c r="K150" i="2" s="1"/>
  <c r="G151" i="2"/>
  <c r="F151" i="2" s="1"/>
  <c r="K151" i="2" s="1"/>
  <c r="G153" i="2"/>
  <c r="F153" i="2" s="1"/>
  <c r="K153" i="2" s="1"/>
  <c r="G155" i="2"/>
  <c r="F155" i="2" s="1"/>
  <c r="K155" i="2" s="1"/>
  <c r="G156" i="2"/>
  <c r="F156" i="2" s="1"/>
  <c r="K156" i="2" s="1"/>
  <c r="G157" i="2"/>
  <c r="F157" i="2" s="1"/>
  <c r="K157" i="2" s="1"/>
  <c r="G158" i="2"/>
  <c r="F158" i="2" s="1"/>
  <c r="K158" i="2" s="1"/>
  <c r="G159" i="2"/>
  <c r="F159" i="2" s="1"/>
  <c r="K159" i="2" s="1"/>
  <c r="G164" i="2"/>
  <c r="F164" i="2" s="1"/>
  <c r="K164" i="2" s="1"/>
  <c r="G165" i="2"/>
  <c r="F165" i="2" s="1"/>
  <c r="K165" i="2" s="1"/>
  <c r="G166" i="2"/>
  <c r="F166" i="2" s="1"/>
  <c r="K166" i="2" s="1"/>
  <c r="G167" i="2"/>
  <c r="F167" i="2" s="1"/>
  <c r="K167" i="2" s="1"/>
  <c r="G168" i="2"/>
  <c r="F168" i="2" s="1"/>
  <c r="K168" i="2" s="1"/>
  <c r="G175" i="2"/>
  <c r="F175" i="2" s="1"/>
  <c r="K175" i="2" s="1"/>
  <c r="G176" i="2"/>
  <c r="F176" i="2" s="1"/>
  <c r="K176" i="2" s="1"/>
  <c r="G177" i="2"/>
  <c r="F177" i="2" s="1"/>
  <c r="K177" i="2" s="1"/>
  <c r="G178" i="2"/>
  <c r="F178" i="2" s="1"/>
  <c r="K178" i="2" s="1"/>
  <c r="G179" i="2"/>
  <c r="F179" i="2" s="1"/>
  <c r="K179" i="2" s="1"/>
  <c r="G180" i="2"/>
  <c r="F180" i="2" s="1"/>
  <c r="K180" i="2" s="1"/>
  <c r="G185" i="2"/>
  <c r="F185" i="2" s="1"/>
  <c r="K185" i="2" s="1"/>
  <c r="G186" i="2"/>
  <c r="F186" i="2" s="1"/>
  <c r="K186" i="2" s="1"/>
  <c r="G187" i="2"/>
  <c r="F187" i="2" s="1"/>
  <c r="K187" i="2" s="1"/>
  <c r="G188" i="2"/>
  <c r="F188" i="2" s="1"/>
  <c r="K188" i="2" s="1"/>
  <c r="G189" i="2"/>
  <c r="F189" i="2" s="1"/>
  <c r="K189" i="2" s="1"/>
  <c r="G190" i="2"/>
  <c r="F190" i="2" s="1"/>
  <c r="K190" i="2" s="1"/>
  <c r="G108" i="2"/>
  <c r="F108" i="2" s="1"/>
  <c r="K108" i="2" s="1"/>
  <c r="L34" i="3"/>
  <c r="L35" i="3"/>
  <c r="L36" i="3"/>
  <c r="L37" i="3"/>
  <c r="L38" i="3"/>
  <c r="L33" i="3"/>
  <c r="L32" i="3"/>
  <c r="O16" i="3"/>
  <c r="L16" i="3"/>
  <c r="M16" i="3" s="1"/>
  <c r="K16" i="3"/>
  <c r="K37" i="2" l="1"/>
  <c r="K181" i="2"/>
  <c r="K192" i="2"/>
  <c r="K74" i="2"/>
  <c r="K52" i="2"/>
  <c r="M34" i="3"/>
  <c r="F34" i="3"/>
  <c r="H34" i="3" s="1"/>
  <c r="M35" i="3"/>
  <c r="F35" i="3"/>
  <c r="H35" i="3" s="1"/>
  <c r="M36" i="3"/>
  <c r="F36" i="3"/>
  <c r="H36" i="3" s="1"/>
  <c r="M37" i="3"/>
  <c r="F37" i="3"/>
  <c r="H37" i="3" s="1"/>
  <c r="M38" i="3"/>
  <c r="F38" i="3"/>
  <c r="H38" i="3" s="1"/>
  <c r="M33" i="3"/>
  <c r="F33" i="3"/>
  <c r="H33" i="3" s="1"/>
  <c r="M32" i="3"/>
  <c r="F32" i="3"/>
  <c r="H32" i="3" s="1"/>
  <c r="H44" i="3" s="1"/>
  <c r="E100" i="2"/>
  <c r="K100" i="2" s="1"/>
  <c r="E101" i="2"/>
  <c r="K101" i="2" s="1"/>
  <c r="E102" i="2"/>
  <c r="K102" i="2" s="1"/>
  <c r="E103" i="2"/>
  <c r="K103" i="2" s="1"/>
  <c r="E104" i="2"/>
  <c r="K104" i="2" s="1"/>
  <c r="E105" i="2"/>
  <c r="K105" i="2" s="1"/>
  <c r="E106" i="2"/>
  <c r="K106" i="2" s="1"/>
  <c r="E127" i="2"/>
  <c r="K127" i="2" s="1"/>
  <c r="E132" i="2"/>
  <c r="K132" i="2" s="1"/>
  <c r="E154" i="2"/>
  <c r="K154" i="2" s="1"/>
  <c r="K160" i="2" s="1"/>
  <c r="E170" i="2"/>
  <c r="K170" i="2" s="1"/>
  <c r="K171" i="2" s="1"/>
  <c r="K110" i="2" l="1"/>
  <c r="K139" i="2"/>
  <c r="K194" i="2" s="1"/>
</calcChain>
</file>

<file path=xl/sharedStrings.xml><?xml version="1.0" encoding="utf-8"?>
<sst xmlns="http://schemas.openxmlformats.org/spreadsheetml/2006/main" count="433" uniqueCount="227">
  <si>
    <t>buc</t>
  </si>
  <si>
    <t>Pret total</t>
  </si>
  <si>
    <t>Pret</t>
  </si>
  <si>
    <t>CANT.</t>
  </si>
  <si>
    <t>U.M.</t>
  </si>
  <si>
    <t>Descriere</t>
  </si>
  <si>
    <t>Nr. crt.</t>
  </si>
  <si>
    <t>TOTAL Capitol 9– Instalaţia de protectie la trasnet</t>
  </si>
  <si>
    <t>Contor de lovituri de trasnet</t>
  </si>
  <si>
    <t>Verificarea rezistentei prizei de pamant</t>
  </si>
  <si>
    <t>ml</t>
  </si>
  <si>
    <t>Conducta de legare la pamint, a instalatiei de paratrasnet sau a instalatiei de protectie prin legarea la pamant, montata in pamant, inclusiv saparea si umplerea santului, conducta fiind din banda de otel zincata, de 40x4 mm, montata in teren tare</t>
  </si>
  <si>
    <t xml:space="preserve">Electrod vertical profilat  olz acoperire 0,9m </t>
  </si>
  <si>
    <t>Instalaţie de protecţie la lovituri de trăsnet – prevectron/pda:
•set complet, raza de protecţie 43 m, montat pe catarg de 3 m
•suporti prindere terasa</t>
  </si>
  <si>
    <t>Cutie cu eclisa de legatura, pentru centura de impamintare</t>
  </si>
  <si>
    <t>Conducta de otel, pentru legarea la pamint sau la nul, a receptoarelor sau aparatelor electrice, montata pe zid de caramida sau beton, conducta fiind banda de otel, laminate la cald, de 25x4 mm</t>
  </si>
  <si>
    <r>
      <t>Capitol 9.</t>
    </r>
    <r>
      <rPr>
        <b/>
        <sz val="7"/>
        <rFont val="Times New Roman"/>
        <family val="1"/>
        <charset val="1"/>
      </rPr>
      <t>  </t>
    </r>
    <r>
      <rPr>
        <b/>
        <sz val="14"/>
        <rFont val="Arial Narrow"/>
        <family val="2"/>
        <charset val="1"/>
      </rPr>
      <t>Instalaţia de protectie la trasnet</t>
    </r>
  </si>
  <si>
    <t>Capitol 8.       – Sistem de detectie efractie</t>
  </si>
  <si>
    <t>m</t>
  </si>
  <si>
    <t>Cablu lyy(st)y 6x0.22+e mmp</t>
  </si>
  <si>
    <t>Sirena efractie pentru aplicatii de exterior</t>
  </si>
  <si>
    <t>Sirena efractie pentru aplicatii de interior</t>
  </si>
  <si>
    <t>Contact magnetic</t>
  </si>
  <si>
    <t xml:space="preserve">Tastatura lcd </t>
  </si>
  <si>
    <t>Detector prezenta – detector de miscare pir - digital</t>
  </si>
  <si>
    <r>
      <t>Capitol 8.</t>
    </r>
    <r>
      <rPr>
        <b/>
        <sz val="7"/>
        <rFont val="Times New Roman"/>
        <family val="1"/>
        <charset val="1"/>
      </rPr>
      <t xml:space="preserve">       </t>
    </r>
    <r>
      <rPr>
        <b/>
        <sz val="14"/>
        <rFont val="Arial Narrow"/>
        <family val="2"/>
        <charset val="1"/>
      </rPr>
      <t>– Sistem de detectie efractie</t>
    </r>
  </si>
  <si>
    <t>TOTAL Capitol 7 - Supraveghere VIDEO</t>
  </si>
  <si>
    <t>Teava de protectie incombustibila din pvc, flexibila sau rigida, fara halogeni diametrul exterior de 20 mm</t>
  </si>
  <si>
    <t>Cablu cat. 6 100 ohms f/ftp, manta lsoh, 4 perechi</t>
  </si>
  <si>
    <t>Patch panel 24 de porturi</t>
  </si>
  <si>
    <t>Statie de lucru, complet echipata (inclusiv soft management, sistem operare, tastatura, mouse etc)
NOTA: Specificatiile se vor definitiva dupa stabilirea solutiei finale si alegerea producatorului</t>
  </si>
  <si>
    <t>Monitor cctv cu picior sau suport de perete</t>
  </si>
  <si>
    <t>Camera exterior, IP, alimentata PoE, tip box</t>
  </si>
  <si>
    <t>Camera interior, IP, alimentata PoE</t>
  </si>
  <si>
    <r>
      <t>Capitol 7.</t>
    </r>
    <r>
      <rPr>
        <b/>
        <sz val="7"/>
        <rFont val="Times New Roman"/>
        <family val="1"/>
        <charset val="1"/>
      </rPr>
      <t xml:space="preserve">       </t>
    </r>
    <r>
      <rPr>
        <b/>
        <sz val="14"/>
        <rFont val="Arial Narrow"/>
        <family val="2"/>
        <charset val="1"/>
      </rPr>
      <t>– Supraveghere VIDEO</t>
    </r>
  </si>
  <si>
    <t xml:space="preserve">TOTAL Capitol 6 - Sistem voce date </t>
  </si>
  <si>
    <t>Numere si etichete, pentru bransamente, coloane electrice, circuite telefonice sau cabluri electrice numere pentru bransamente sau coloane electrice - eticheta tubulare pvc</t>
  </si>
  <si>
    <t>sist.</t>
  </si>
  <si>
    <t>Verificarea si testarea functionala a perifericelor</t>
  </si>
  <si>
    <t xml:space="preserve">Centrala telefon 34 de linii </t>
  </si>
  <si>
    <t xml:space="preserve">Splitter TV 1 intrare/12 iesiri </t>
  </si>
  <si>
    <t>Pat de cablu 200x60mm, complet echipat cu sistem de prindere</t>
  </si>
  <si>
    <t>Mont teava de protectie incombustibila din pvc, flexibila sau rigida, fara halogeni diametrul exterior de 20 mm</t>
  </si>
  <si>
    <t>Switch cu management 16 porturi gigabit poe, 2 porturi sfp</t>
  </si>
  <si>
    <t xml:space="preserve">Rack de 6u complet echipat </t>
  </si>
  <si>
    <t>Rack 19" / 36u, 800x800mm, usa fata securizata, panouri laterale detasabile, securizate, panou spate metalic securizat, accese multiple pt. cabluri, kit suporti, asamblat, prevazut cu ventilatoare si termostat, organizatoare cabluri, pdu cu minim 6 prize schuko, complet echipat</t>
  </si>
  <si>
    <t>Acces Point PoE</t>
  </si>
  <si>
    <t xml:space="preserve">Cablu telefon </t>
  </si>
  <si>
    <t xml:space="preserve">Priza telefon </t>
  </si>
  <si>
    <t>Cablu TV coaxial RG6</t>
  </si>
  <si>
    <t>Priza TV</t>
  </si>
  <si>
    <t>Priza de date dubla rj45, cat 6</t>
  </si>
  <si>
    <r>
      <t>Capitol 6.</t>
    </r>
    <r>
      <rPr>
        <b/>
        <sz val="7"/>
        <rFont val="Times New Roman"/>
        <family val="1"/>
        <charset val="1"/>
      </rPr>
      <t xml:space="preserve">       </t>
    </r>
    <r>
      <rPr>
        <b/>
        <sz val="14"/>
        <rFont val="Arial Narrow"/>
        <family val="2"/>
        <charset val="1"/>
      </rPr>
      <t xml:space="preserve">– Sistem voce date </t>
    </r>
  </si>
  <si>
    <t>TOTAL Capitol 5 - Detectie si semnalizare incendiu</t>
  </si>
  <si>
    <t>NOTA:Toate elementele sistemului detectie si alarmare incendiu trebuie sa fie alese conf. P118-3/2015 si SR EN 54</t>
  </si>
  <si>
    <t>ans</t>
  </si>
  <si>
    <t>Instalare, testare, programare si instructaj</t>
  </si>
  <si>
    <t>Materiale marunte</t>
  </si>
  <si>
    <t>Etansari antifoc pentru treceri de cabluri, tevi, paturi de cabluri etc. (Izolarea din punct de vedere al rezistentei la foc a golurilor efectuate in urma montarii cablurilor etc se va face in conformitate cu rezistenta la foc a elementelor de constructie traversate)</t>
  </si>
  <si>
    <t>Etichetare cabluri/ elemente ale sistemului de detectie.</t>
  </si>
  <si>
    <t>buc.</t>
  </si>
  <si>
    <t xml:space="preserve">Centralina pentru desfumare/deschidere automata </t>
  </si>
  <si>
    <t>ml.</t>
  </si>
  <si>
    <t>Cablu conexiuni incendiu jeh(st)e30 2x2x0,8</t>
  </si>
  <si>
    <t>Sistem apelare sora medicala comunicatie IP pentru grupuri sanitare ale persoanelor cu dizabilitati. Include butoane apelare/anulare, buton urgenta, buton anulare, sursa de alimentare, controler de zona, modul electronic cu flash, sirena, etc.</t>
  </si>
  <si>
    <t>Modul adresabil intrare /iesire</t>
  </si>
  <si>
    <t>Tub capilar  12x9 mm</t>
  </si>
  <si>
    <t xml:space="preserve">Teava aspiratie complet echipata inclusiv accesorii, suporti pentru fixare, etichete de reducere a gaurii, etc. </t>
  </si>
  <si>
    <t xml:space="preserve">Dispozitiv de detectare a fumului prin aspirație, cu 1 canal inclusiv capilara montata pe teava de aspiratie prevazut pentru spatiul de sub plafonul fals (un detector optic de fum, filtru și ventilator pentru canal), echipat cu modul adresabil de integrare pe bucla de incendiu, inclusiv sursa de alimentare, complet echipat. </t>
  </si>
  <si>
    <t>Dispozitiv de detectare a fumului prin aspirație, cu 1 canal (un detector optic de fum, filtru și ventilator pentru canal), echipat cu modul adresabil de integrare pe bucla de incendiu, inclusiv sursa de alimentare, complet echipat.</t>
  </si>
  <si>
    <t>Unitate de detectare a fumului prin aspirație, complet echipată (inclusiv sursă de alimentare și acumulatori, afișaj și control, ventilator, filtru etc.)</t>
  </si>
  <si>
    <t>Buton manual deschidere trape/usi/ferestre cu deschidere automata</t>
  </si>
  <si>
    <t>Buton adresabil alarmare manuala cu doza de montaj</t>
  </si>
  <si>
    <t>Sirena  de exterior, echipata cu flash</t>
  </si>
  <si>
    <t>Sirena de interior adresabila, culoare rosie, cu avertizare vizuala</t>
  </si>
  <si>
    <t>Avertizor optic cu led - pentru detectori montati in plafon</t>
  </si>
  <si>
    <t>Detector de gaz metan echipat cu soclu si eticheta</t>
  </si>
  <si>
    <t>Detector punctual de fum optic si temperatura adresabil echipat cu soclu si eticheta</t>
  </si>
  <si>
    <t>Detector punctual de fum optic adresabil echipat cu soclu si eticheta</t>
  </si>
  <si>
    <t>Apelator telefonic</t>
  </si>
  <si>
    <t>Panou repetor</t>
  </si>
  <si>
    <r>
      <t>Capitol 5.</t>
    </r>
    <r>
      <rPr>
        <b/>
        <sz val="7"/>
        <rFont val="Times New Roman"/>
        <family val="1"/>
        <charset val="1"/>
      </rPr>
      <t xml:space="preserve">       </t>
    </r>
    <r>
      <rPr>
        <b/>
        <sz val="14"/>
        <rFont val="Arial Narrow"/>
        <family val="2"/>
        <charset val="1"/>
      </rPr>
      <t>– Detectie si semnalizare incendiu</t>
    </r>
  </si>
  <si>
    <t>TOTAL Capitolul 4 –  Cabluri si tuburi de protectie</t>
  </si>
  <si>
    <t>Tub izolant, de protectie, fara halogeni diametrul exterior de 110 mm</t>
  </si>
  <si>
    <t>Tub izolant, de protectie, fara halogeni diametrul exterior de 90 mm</t>
  </si>
  <si>
    <t xml:space="preserve">Teava de protectie incombustibila din pvc, flexibila sau rigida, fara halogeni diametrul exterior de 63 mm, inclusiv sistem de prindere </t>
  </si>
  <si>
    <t xml:space="preserve">Teava de protectie incombustibila din pvc, flexibila sau rigida, fara halogeni diametrul exterior de 40 mm, inclusiv sistem de prindere </t>
  </si>
  <si>
    <t xml:space="preserve">Teava de protectie incombustibila din pvc, flexibila sau rigida, fara halogeni diametrul exterior de 32 mm, inclusiv sistem de prindere </t>
  </si>
  <si>
    <t xml:space="preserve">Teava de protectie incombustibila din pvc, flexibila sau rigida, fara halogeni diametrul exterior de 25 mm, inclusiv sistem de prindere </t>
  </si>
  <si>
    <t xml:space="preserve">Teava de protectie incombustibila din pvc, flexibila sau rigida, fara halogeni diametrul exterior de 20 mm, inclusiv sistem de prindere </t>
  </si>
  <si>
    <t xml:space="preserve">Teava de protectie incombustibila din pvc, flexibila sau rigida, fara halogeni diametrul exterior de 16 mm, inclusiv sistem de prindere </t>
  </si>
  <si>
    <t>Nhxh_fe180/e90_4x25+16mmp  - cablu rezistent la foc nhxh fe180/e60 4x25+16mmp</t>
  </si>
  <si>
    <t>Nhxh_fe180/e90_5x16mmp  - cablu rezistent la foc nhxh fe180/e60 5x16mmp</t>
  </si>
  <si>
    <t>Nhxh_fe180/e90_5x10mmp  - cablu rezistent la foc nhxh fe180/e60 5x10mmp</t>
  </si>
  <si>
    <t>Nhxh_fe180/e90_5x2,5mmp  - cablu rezistent la foc nhxh fe180/e60 5x2,5mmp</t>
  </si>
  <si>
    <t>Nhxh_fe180/e90_5x1,5mmp  - cablu rezistent la foc nhxh fe180/e60 5x1,5mmp</t>
  </si>
  <si>
    <t>Nhxh_fe180/e90_3x2,5mmp  - cablu rezistent la foc nhxh fe180/e60 3x2.5mmp</t>
  </si>
  <si>
    <t>Nhxh_fe180/e90_3x1,5mmp  - cablu rezistent la foc nhxh fe180/e60 3x1.5mmp</t>
  </si>
  <si>
    <t>N2xh_4x1.5mmp  - cablu cupru tip n2xh 4x1.5mmp</t>
  </si>
  <si>
    <t>N2xh_3x1.5mmp  -  cablu cupru tip n2xh 3x1.5mmp</t>
  </si>
  <si>
    <t>N2xh_3x2.5mmp  - cablu cupru tip n2xh 3x2.5mmp</t>
  </si>
  <si>
    <t>N2xh_3x6mmp  - cablu cupru tip n2xh 3x6mmp</t>
  </si>
  <si>
    <t>N2xh_5x1,5mmp  - cablu cupru tip n2xh 5x1,5mmp</t>
  </si>
  <si>
    <t>N2xh_5x2,5mmp  - cablu cupru tip n2xh 5x2,5mmp</t>
  </si>
  <si>
    <t>N2xh_5x4mmp  - cablu cupru tip n2xh 5x4mmp</t>
  </si>
  <si>
    <t>N2xh_5x6mmp  - cablu cupru tip n2xh 5x6mmp</t>
  </si>
  <si>
    <t>N2xh_5x10mmp  - cablu din cupru n2xh 5x10mmp</t>
  </si>
  <si>
    <t>N2xh_5x16mmp  - cablu din cupru n2xh 5x16mmp</t>
  </si>
  <si>
    <t>N2xh_4x25+16mmp  - cablu din cupru n2xh 4x25+16mmp</t>
  </si>
  <si>
    <t>N2xh_4x35+16mmp  - cablu din cupru n2xh 4x35+16mmp</t>
  </si>
  <si>
    <t>N2xh_4x95+50mmp  - cablu din cupru n2xh 4x95+50mmp</t>
  </si>
  <si>
    <t>N2xh_4x120+70mmp  -  cablu cupru n2xh 4x120+70mmp</t>
  </si>
  <si>
    <t xml:space="preserve">CYABY 2x(4x240+120)mmp, montaj ingropat </t>
  </si>
  <si>
    <r>
      <t>Capitol 4.</t>
    </r>
    <r>
      <rPr>
        <b/>
        <sz val="7"/>
        <rFont val="Times New Roman"/>
        <family val="1"/>
        <charset val="1"/>
      </rPr>
      <t>  </t>
    </r>
    <r>
      <rPr>
        <b/>
        <sz val="14"/>
        <rFont val="Arial Narrow"/>
        <family val="2"/>
        <charset val="1"/>
      </rPr>
      <t>Cabluri si tuburi de protectie</t>
    </r>
  </si>
  <si>
    <t>TOTAL Capitolul 3 –  Corpuri de iluminat</t>
  </si>
  <si>
    <t>Punere in functiune si programare sistem</t>
  </si>
  <si>
    <t>Instalare, testare, instructaj etc.</t>
  </si>
  <si>
    <t>Corp pentru iluminatul de securitate local, tip luminobloc - 3h autonomie, echipat cu sursa LED max. 11W, tip PERMANENT, montaj pe perete, marcat corespunzator, grad de protectie min. IP 20</t>
  </si>
  <si>
    <t>Corp de iluminat (luminobloc), montat aparent, inscriptionat, pentru marcare cale de evacuare, min. 3w, tip permanent, min ip42, cu led, kit cu autonomie minim 3h. montaj aparent</t>
  </si>
  <si>
    <t>Montare corp de iluminat (luminobloc), montat aparent, inscriptionat, pentru marcare cale de evacuare, min. 5w, tip permanent, min ip42, cu led, autonomie minim 3h. montaj aparent</t>
  </si>
  <si>
    <t>Montare corp de iluminat (luminobloc), montat aparent, inscriptionat, pentru marcare hidrant, min. 5w, tip permanent, min ip42, cu led, autonomie minim 3h.</t>
  </si>
  <si>
    <t>Corp de iluminat incastrat echipat cu sursa LED max. 20W, grad de protectie min. IP20, echipat cu kit de emergenta - autonomie 3h, NEPERMANENT, destinat iluminatului de siguranta impotriva panicii, punere in functiune automata la intreruperea iluminatului normal</t>
  </si>
  <si>
    <t>Corp de iluminat tip plafoniera, echipat cu sursa LED 19W, cu geam de protectie, temperatura de culoare 4000 K, 2660 lm, cu grad de protectie min. IP54, echipat cu senzor de miscare</t>
  </si>
  <si>
    <t>Corp de iluminat tip aplica de perete, echipat cu sursa LED max. 10W, cu driver inclus, grad de protectie min. IP40, 4000K, 4000lm</t>
  </si>
  <si>
    <t>Corp de iluminat tip aplica de perete, echipat cu sursa LED max. 20W, cu driver inclus, grad de protectie min. IP56, 4000K, 4000lm</t>
  </si>
  <si>
    <t>Corp de iluminat 600x600mm, 230V, cu surse LED, 40W, minim 4400 lm, temperatura de culoare 4000-5000K, Ra&gt;80, IP20/54, echipat cu kit de emergenta si senzor de miscare  - autonomie 3h, destinat iluminatului de securitate pentru evacuare</t>
  </si>
  <si>
    <t>Corp de iluminat  echipat cu sursa LED max.40W/840,complet echipat, cu distributie directa, grad de protectie min. IP20/54, conf. spatiului in care se monteaza, 4000 K, minim 4800lm, echipat cu kit de emergenta - autonomie 3h, destinat iluminatului de siguranta pentru continuarea lucrului,</t>
  </si>
  <si>
    <t xml:space="preserve">Corp de iluminat liniar echipat cu sursa LED max.36W,complet echipat, min. IP20/65, conf. spatiului in care se monteaza, 4000 K, minim 4000lm, Ra&gt;80,
echipat cu senzor de miscare </t>
  </si>
  <si>
    <t xml:space="preserve">Corp de iluminat liniar echipat cu sursa LED max.36W,complet echipat, min. IP20/65, montaj suspendat, conf. spatiului in care se monteaza, 4000 K, minim 4000lm, Ra&gt;80,complet echipat inclusiv sistemul de prindere </t>
  </si>
  <si>
    <t xml:space="preserve">Corp de iluminat 600x600mm, 230V, cu surse LED, 36W, minim 4860 lm, temperatura de culoare 4000K, Ra&gt;80, IP40, montaj suspendat, montat in incaperile cu gol peste parter, complet echipat inclusiv sistemul de prindere </t>
  </si>
  <si>
    <t>Corp de iluminat 600x600mm, 230V, cu surse LED, 36W, minim 4860 lm, temperatura de culoare 4000K, Ra&gt;80, IP40, complet echipat</t>
  </si>
  <si>
    <t xml:space="preserve">Corp de iluminat 600x600mm, 230V, cu surse LED, 36W, minim 4860 lm, temperatura de culoare 4000K, Ra&gt;80, IP40, complet echipat, echipat cu senzor de miscare </t>
  </si>
  <si>
    <t>Corp de iluminat tip "plafoniera" echipat cu sursa LED 3x15W, grad de protectie IP40</t>
  </si>
  <si>
    <r>
      <t>Capitol 3.</t>
    </r>
    <r>
      <rPr>
        <b/>
        <sz val="7"/>
        <rFont val="Times New Roman"/>
        <family val="1"/>
        <charset val="1"/>
      </rPr>
      <t>   </t>
    </r>
    <r>
      <rPr>
        <b/>
        <sz val="14"/>
        <rFont val="Arial Narrow"/>
        <family val="2"/>
        <charset val="1"/>
      </rPr>
      <t>Corpuri de iluminat</t>
    </r>
  </si>
  <si>
    <t>TOTAL Capitolul 2 –  Aparate electrice şi accesorii</t>
  </si>
  <si>
    <t>Doza centralizatoare ip20</t>
  </si>
  <si>
    <t>Racord electric</t>
  </si>
  <si>
    <t>Priza 400V, grad de protectie min. IP54;</t>
  </si>
  <si>
    <t xml:space="preserve">Priza dubla cu contact de protectie 2 x 2P+PE, 16A/230V, montaj ingropat, grad de protectie min. IP20; </t>
  </si>
  <si>
    <t xml:space="preserve">Priza simpla cu contact de protectie 2P+PE, 16A/230V, montaj aparent, echipat cu garnituri elastice pentru intrarea cablurilor, grad de protectie min. IP54 ; </t>
  </si>
  <si>
    <t xml:space="preserve">Priza simpla cu contact de protectie 2P+PE, 16A/230V, montaj ingropat, grad de protectie min. IP20; </t>
  </si>
  <si>
    <t xml:space="preserve"> Intrerupator cap-cruce 10A, 230V, IP20 </t>
  </si>
  <si>
    <t xml:space="preserve"> Intrerupator cap-scara 10A, 230V, IP20 </t>
  </si>
  <si>
    <t xml:space="preserve"> Intrerupator simplu 10A, 220V, IP20 </t>
  </si>
  <si>
    <r>
      <t>Capitol 2.</t>
    </r>
    <r>
      <rPr>
        <b/>
        <sz val="7"/>
        <rFont val="Times New Roman"/>
        <family val="1"/>
        <charset val="1"/>
      </rPr>
      <t>     </t>
    </r>
    <r>
      <rPr>
        <b/>
        <sz val="14"/>
        <rFont val="Arial Narrow"/>
        <family val="2"/>
        <charset val="1"/>
      </rPr>
      <t>Aparate electrice şi accesorii</t>
    </r>
  </si>
  <si>
    <r>
      <t>Capitol 1.</t>
    </r>
    <r>
      <rPr>
        <b/>
        <sz val="7"/>
        <rFont val="Times New Roman"/>
        <family val="1"/>
        <charset val="1"/>
      </rPr>
      <t>     </t>
    </r>
    <r>
      <rPr>
        <b/>
        <sz val="14"/>
        <rFont val="Arial Narrow"/>
        <family val="2"/>
        <charset val="1"/>
      </rPr>
      <t>Distributie energie electrica</t>
    </r>
  </si>
  <si>
    <t>Nota: Pentru diminuarea riscului de incendiu, toate tablourile electrice vor fi echipate cu dispositive pentru detectarea defectelor de arc electric  ( AFDD), in circuitele finale de current alternativ, conform recomandarilor din SR EN 62600 si SR EN 60364 4-42/A1.</t>
  </si>
  <si>
    <t>Incercarea tablourilor de distributie, de comanda de protectie, de semnalizare, a pupitrelor de comanda si a cutiilor metalice cu cleme panouri metalice sau dulapuri metalice</t>
  </si>
  <si>
    <t>Tablou electric general TGPH, complet echipat  conform schemei monofilare, cu accesorii de montaj</t>
  </si>
  <si>
    <t>Tablou electric general TDF, complet echipat  conform schemei monofilare, cu accesorii de montaj</t>
  </si>
  <si>
    <t>Tablou electric general TALA, complet echipat  conform schemei monofilare, cu accesorii de montaj</t>
  </si>
  <si>
    <t>Tablou electric general TEAT, complet echipat  conform schemei monofilare, cu accesorii de montaj</t>
  </si>
  <si>
    <t>Tablou electric general TE2, complet echipat  conform schemei monofilare, cu accesorii de montaj</t>
  </si>
  <si>
    <t>Tablou electric general TE1, complet echipat  conform schemei monofilare, cu accesorii de montaj</t>
  </si>
  <si>
    <t>Tablou electric general TEM, complet echipat  conform schemei monofilare, cu accesorii de montaj</t>
  </si>
  <si>
    <t>Tablou electric general TEB, complet echipat  conform schemei monofilare, cu accesorii de montaj</t>
  </si>
  <si>
    <t>Tablou electric general TEP, complet echipat  conform schemei monofilare, cu accesorii de montaj</t>
  </si>
  <si>
    <t>Tablou electric general TES, complet echipat  conform schemei monofilare, cu accesorii de montaj</t>
  </si>
  <si>
    <t>Tablou electric general TCT, complet echipat  conform schemei monofilare, cu accesorii de montaj</t>
  </si>
  <si>
    <t>Tablou electric general TCV, complet echipat  conform schemei monofilare, cu accesorii de montaj</t>
  </si>
  <si>
    <t>Tablou electric general TEG, complet echipat  conform schemei monofilare, cu accesorii de montaj</t>
  </si>
  <si>
    <t>Capitol 1.     Distributie energie electrica</t>
  </si>
  <si>
    <t>NR. CRT.</t>
  </si>
  <si>
    <t>SECTIUNE FINANCIARA</t>
  </si>
  <si>
    <t>SECTIUNE TEHNICA</t>
  </si>
  <si>
    <t>TOTAL</t>
  </si>
  <si>
    <t>t
TRANSPORT (3X4D)</t>
  </si>
  <si>
    <t>U
UTILAJ (3X4C)</t>
  </si>
  <si>
    <t>m MANOPERA (3X4B)</t>
  </si>
  <si>
    <t>M MATERIALE (3X4A)</t>
  </si>
  <si>
    <t>PRET UNITAR 
A) MATERIALE
B) MANOPERA
C)UTILAJ
D) TRANSPORT
TOTAL A)+B)+C)+D)</t>
  </si>
  <si>
    <t>CANTITATE</t>
  </si>
  <si>
    <t>CAPITOLUL DE LUCRARI</t>
  </si>
  <si>
    <t>CATEGORIA DE LUCRARI: INSTALATII ELECTRICE</t>
  </si>
  <si>
    <t>CU CANTITATI DE LUCRARI, PE CATGORII DE LUCRARI</t>
  </si>
  <si>
    <t xml:space="preserve">LISTA </t>
  </si>
  <si>
    <t>CONCELEX ENGINEERINGS S.R.L.</t>
  </si>
  <si>
    <t>CONCELEX S.R.L.</t>
  </si>
  <si>
    <t>CONCRETE &amp; DESIGN SOLUTIONS S.R.L</t>
  </si>
  <si>
    <t>CONSTRUIRE CENTRU DE RECUPERARE BALNEARA, STR. OVIDIU NR. 5, LOT 1/2, ORASUL TECHIRGHIOL, JUDETUL CONSTANTA</t>
  </si>
  <si>
    <t>Proiectant, Asocierea:</t>
  </si>
  <si>
    <t>OBIECTIV</t>
  </si>
  <si>
    <t>FORMULARUL   F3</t>
  </si>
  <si>
    <t>Active necorporale</t>
  </si>
  <si>
    <t>Dotari</t>
  </si>
  <si>
    <t>Grup electroge 110 kVA</t>
  </si>
  <si>
    <t xml:space="preserve">Centrala avertizare efractie </t>
  </si>
  <si>
    <t>Ups 15 kVA 3~</t>
  </si>
  <si>
    <t>Ups 4 kVA 1~</t>
  </si>
  <si>
    <t>Nvr 32 de canale</t>
  </si>
  <si>
    <t>Nvr 16 de canale</t>
  </si>
  <si>
    <t>Centrala de detectie incendiu</t>
  </si>
  <si>
    <t>Utilaje, echipamente tehnologice si functionale care necesita montaj</t>
  </si>
  <si>
    <t>nr buc</t>
  </si>
  <si>
    <t xml:space="preserve">Pretul unitar </t>
  </si>
  <si>
    <t>UM</t>
  </si>
  <si>
    <t xml:space="preserve">Denumirea </t>
  </si>
  <si>
    <t>Nr.crt</t>
  </si>
  <si>
    <t>INSTALATII ELECTRICE</t>
  </si>
  <si>
    <t>CU CANTITATILE DE UTILAJE SI ECHIPAMENTE TEHNOLOGICE, INCLUSIV DOTARI SI ACTIVE NECORPORALE</t>
  </si>
  <si>
    <t>OBIECTIV:</t>
  </si>
  <si>
    <t>FORMULARUL   F4</t>
  </si>
  <si>
    <t>ACHIZITIE</t>
  </si>
  <si>
    <t>ACHIZITIE TOTAL</t>
  </si>
  <si>
    <t>VANZARE</t>
  </si>
  <si>
    <t>VANZARE TOTAL</t>
  </si>
  <si>
    <t>MANOPERA</t>
  </si>
  <si>
    <t>MANOPERA TOTAL</t>
  </si>
  <si>
    <t>Pret aproximat, nevoie de mai multe detalii/planuri</t>
  </si>
  <si>
    <t>Cotat teava cu intarziere la propagarea flacarii, halogen free + cleme rezistente la foc HILTI</t>
  </si>
  <si>
    <t>Tablou electric TPAS</t>
  </si>
  <si>
    <t>Tablouri regasite in schemele monofilare si adaugate in lista de cantitati de catre noi</t>
  </si>
  <si>
    <t>Tablou electric TPAD</t>
  </si>
  <si>
    <t>Tablou electri TGPH</t>
  </si>
  <si>
    <t>Baterie compensare</t>
  </si>
  <si>
    <t>Tablou electric Camera TEC1-32 - Contine AFDD conform schma monofilara</t>
  </si>
  <si>
    <t>Inclus in tablouri</t>
  </si>
  <si>
    <t>Cotat conform schema monofila. Consideram ca este un tablou subdimensionat conform schema monofilara</t>
  </si>
  <si>
    <t>Total General EURO + TVA</t>
  </si>
  <si>
    <t>TOTAL EURO fara TVA</t>
  </si>
  <si>
    <t>-EURO / UM-</t>
  </si>
  <si>
    <t xml:space="preserve">Valoarea (exclusiv TVA)(3x4)- EURO- </t>
  </si>
  <si>
    <t>Cantitate</t>
  </si>
  <si>
    <t>Pretul unitar manopera</t>
  </si>
  <si>
    <t>ELECTRICAL INTEGRATION SYSTEMS  S.R.L
Str. Dumitru Florescu, nr.32, Bucureşti
Tel./ Fax: 021.319.86.14
E-mail: office@eis-online.ro</t>
  </si>
  <si>
    <t>Data:
01.09.2026
Nr. Oferta:
2419</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</si>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</sst>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9]General"/>
    <numFmt numFmtId="165" formatCode="###\ ###\ ###\ ###"/>
    <numFmt numFmtId="166" formatCode="0.000"/>
  </numFmts>
  <fonts count="51" x14ac:knownFonts="1">
    <font>
      <sz val="11"/>
      <color theme="1"/>
      <name val="Aptos Narrow"/>
      <family val="2"/>
      <scheme val="minor"/>
    </font>
    <font>
      <sz val="11"/>
      <color theme="1"/>
      <name val="Aptos Narrow"/>
      <family val="2"/>
      <scheme val="minor"/>
    </font>
    <font>
      <sz val="11"/>
      <color rgb="FF9C0006"/>
      <name val="Aptos Narrow"/>
      <family val="2"/>
      <scheme val="minor"/>
    </font>
    <font>
      <sz val="11"/>
      <color rgb="FF000000"/>
      <name val="Calibri"/>
      <family val="2"/>
      <charset val="1"/>
    </font>
    <font>
      <b/>
      <sz val="12"/>
      <name val="Arial Narrow"/>
      <family val="2"/>
      <charset val="1"/>
    </font>
    <font>
      <sz val="11"/>
      <name val="Arial Narrow"/>
      <family val="2"/>
      <charset val="1"/>
    </font>
    <font>
      <b/>
      <i/>
      <sz val="11"/>
      <name val="Arial Narrow"/>
      <family val="2"/>
      <charset val="1"/>
    </font>
    <font>
      <sz val="12"/>
      <name val="Arial Narrow"/>
      <family val="2"/>
      <charset val="1"/>
    </font>
    <font>
      <sz val="11"/>
      <color theme="1"/>
      <name val="Times New Roman"/>
      <family val="1"/>
    </font>
    <font>
      <sz val="11"/>
      <color rgb="FF000000"/>
      <name val="Calibri"/>
      <family val="2"/>
    </font>
    <font>
      <b/>
      <sz val="12"/>
      <color rgb="FF000000"/>
      <name val="Arial"/>
      <family val="2"/>
    </font>
    <font>
      <b/>
      <sz val="11"/>
      <name val="Arial Narrow"/>
      <family val="2"/>
      <charset val="1"/>
    </font>
    <font>
      <b/>
      <sz val="14"/>
      <name val="Arial Narrow"/>
      <family val="2"/>
      <charset val="1"/>
    </font>
    <font>
      <b/>
      <sz val="7"/>
      <name val="Times New Roman"/>
      <family val="1"/>
      <charset val="1"/>
    </font>
    <font>
      <sz val="11"/>
      <name val="Calibri"/>
      <family val="2"/>
      <charset val="1"/>
    </font>
    <font>
      <sz val="12"/>
      <name val="Times New Roman"/>
      <family val="1"/>
    </font>
    <font>
      <sz val="10"/>
      <name val="Arial"/>
      <family val="2"/>
      <charset val="1"/>
    </font>
    <font>
      <sz val="12"/>
      <color theme="1"/>
      <name val="Times New Roman"/>
      <family val="1"/>
    </font>
    <font>
      <sz val="11"/>
      <name val="Arial Narrow"/>
      <family val="2"/>
    </font>
    <font>
      <sz val="10"/>
      <name val="Arial"/>
      <family val="2"/>
      <charset val="238"/>
    </font>
    <font>
      <b/>
      <sz val="10"/>
      <name val="Arial Narrow"/>
      <family val="2"/>
      <charset val="1"/>
    </font>
    <font>
      <sz val="10"/>
      <name val="Arial"/>
      <family val="2"/>
    </font>
    <font>
      <sz val="10"/>
      <name val="Arial Narrow"/>
      <family val="2"/>
      <charset val="238"/>
    </font>
    <font>
      <b/>
      <sz val="10"/>
      <name val="Arial Narrow"/>
      <family val="2"/>
      <charset val="238"/>
    </font>
    <font>
      <b/>
      <sz val="8"/>
      <name val="Arial Narrow"/>
      <family val="2"/>
    </font>
    <font>
      <sz val="8"/>
      <name val="Arial Narrow"/>
      <family val="2"/>
    </font>
    <font>
      <sz val="10"/>
      <name val="Arial Narrow"/>
      <family val="2"/>
    </font>
    <font>
      <b/>
      <sz val="10"/>
      <name val="Arial Narrow"/>
      <family val="2"/>
    </font>
    <font>
      <b/>
      <sz val="9"/>
      <name val="Arial Narrow"/>
      <family val="2"/>
    </font>
    <font>
      <b/>
      <sz val="11"/>
      <color rgb="FFFF0000"/>
      <name val="Arial Narrow"/>
      <family val="2"/>
    </font>
    <font>
      <b/>
      <sz val="11"/>
      <name val="Arial Narrow"/>
      <family val="2"/>
    </font>
    <font>
      <sz val="10"/>
      <name val="Arial Narrow"/>
      <family val="2"/>
      <charset val="1"/>
    </font>
    <font>
      <sz val="12"/>
      <name val="Arial Narrow"/>
      <family val="2"/>
    </font>
    <font>
      <b/>
      <sz val="12"/>
      <name val="Arial Narrow"/>
      <family val="2"/>
      <charset val="238"/>
    </font>
    <font>
      <b/>
      <sz val="12"/>
      <name val="Arial Narrow"/>
      <family val="2"/>
    </font>
    <font>
      <sz val="9"/>
      <color rgb="FF000000"/>
      <name val="Calibri"/>
      <family val="2"/>
      <charset val="1"/>
    </font>
    <font>
      <b/>
      <sz val="9"/>
      <name val="Arial Narrow"/>
      <family val="2"/>
      <charset val="1"/>
    </font>
    <font>
      <sz val="11"/>
      <color indexed="8"/>
      <name val="Calibri"/>
      <family val="2"/>
    </font>
    <font>
      <sz val="11"/>
      <color rgb="FF000000"/>
      <name val="Calibri"/>
      <family val="2"/>
      <charset val="238"/>
    </font>
    <font>
      <b/>
      <sz val="11"/>
      <color rgb="FFFF0000"/>
      <name val="Arial"/>
      <family val="2"/>
    </font>
    <font>
      <b/>
      <sz val="11"/>
      <color rgb="FF00B050"/>
      <name val="Arial"/>
      <family val="2"/>
    </font>
    <font>
      <b/>
      <sz val="11"/>
      <name val="Arial"/>
      <family val="2"/>
    </font>
    <font>
      <b/>
      <sz val="10"/>
      <color rgb="FFFF0000"/>
      <name val="Tahoma"/>
      <family val="2"/>
      <charset val="238"/>
    </font>
    <font>
      <b/>
      <sz val="10"/>
      <color rgb="FF00B050"/>
      <name val="Tahoma"/>
      <family val="2"/>
      <charset val="238"/>
    </font>
    <font>
      <b/>
      <sz val="10"/>
      <name val="Tahoma"/>
      <family val="2"/>
      <charset val="238"/>
    </font>
    <font>
      <b/>
      <sz val="11"/>
      <color rgb="FF000000"/>
      <name val="Calibri"/>
      <family val="2"/>
    </font>
    <font>
      <b/>
      <sz val="11"/>
      <color rgb="FF000000"/>
      <name val="Arial"/>
      <family val="2"/>
    </font>
    <font>
      <b/>
      <sz val="11"/>
      <name val="Times New Roman"/>
      <family val="1"/>
    </font>
    <font>
      <b/>
      <sz val="11"/>
      <color rgb="FF000000"/>
      <name val="Times New Roman"/>
      <family val="1"/>
    </font>
    <font>
      <b/>
      <sz val="11"/>
      <color rgb="FF000000"/>
      <name val="Calibri"/>
      <family val="2"/>
      <charset val="1"/>
    </font>
    <font>
      <b/>
      <sz val="11"/>
      <color theme="1"/>
      <name val="Times New Roman"/>
      <family val="1"/>
    </font>
  </fonts>
  <fills count="4">
    <fill>
      <patternFill patternType="none"/>
    </fill>
    <fill>
      <patternFill patternType="gray125"/>
    </fill>
    <fill>
      <patternFill patternType="solid">
        <fgColor rgb="FFFFC7CE"/>
      </patternFill>
    </fill>
    <fill>
      <patternFill patternType="solid">
        <fgColor rgb="FFFFFF00"/>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diagonal/>
    </border>
    <border>
      <left style="thin">
        <color auto="1"/>
      </left>
      <right/>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s>
  <cellStyleXfs count="15">
    <xf numFmtId="0" fontId="0" fillId="0" borderId="0"/>
    <xf numFmtId="0" fontId="2" fillId="2" borderId="0" applyNumberFormat="0" applyBorder="0" applyAlignment="0" applyProtection="0"/>
    <xf numFmtId="0" fontId="3" fillId="0" borderId="0"/>
    <xf numFmtId="164" fontId="9" fillId="0" borderId="0" applyBorder="0" applyProtection="0"/>
    <xf numFmtId="0" fontId="16" fillId="0" borderId="0"/>
    <xf numFmtId="0" fontId="21" fillId="0" borderId="0"/>
    <xf numFmtId="0" fontId="21" fillId="0" borderId="0"/>
    <xf numFmtId="0" fontId="1" fillId="0" borderId="0"/>
    <xf numFmtId="43" fontId="21" fillId="0" borderId="0" applyFont="0" applyFill="0" applyBorder="0" applyAlignment="0" applyProtection="0"/>
    <xf numFmtId="164" fontId="9" fillId="0" borderId="0"/>
    <xf numFmtId="164" fontId="9" fillId="0" borderId="0"/>
    <xf numFmtId="0" fontId="37" fillId="0" borderId="0"/>
    <xf numFmtId="0" fontId="37" fillId="0" borderId="0"/>
    <xf numFmtId="164" fontId="38" fillId="0" borderId="0" applyBorder="0" applyProtection="0"/>
    <xf numFmtId="164" fontId="38" fillId="0" borderId="0" applyBorder="0" applyProtection="0"/>
  </cellStyleXfs>
  <cellXfs count="186">
    <xf numFmtId="0" fontId="0" fillId="0" borderId="0" xfId="0"/>
    <xf numFmtId="0" fontId="3" fillId="0" borderId="0" xfId="2"/>
    <xf numFmtId="0" fontId="3" fillId="0" borderId="0" xfId="2" applyAlignment="1">
      <alignment horizontal="center" vertical="center"/>
    </xf>
    <xf numFmtId="0" fontId="5" fillId="0" borderId="0" xfId="2" applyFont="1" applyAlignment="1">
      <alignment wrapText="1"/>
    </xf>
    <xf numFmtId="0" fontId="3" fillId="0" borderId="1" xfId="2" applyBorder="1"/>
    <xf numFmtId="0" fontId="6" fillId="0" borderId="2" xfId="2" applyFont="1" applyBorder="1" applyAlignment="1">
      <alignment horizontal="center" vertical="center" wrapText="1"/>
    </xf>
    <xf numFmtId="0" fontId="6" fillId="0" borderId="1" xfId="2" applyFont="1" applyBorder="1" applyAlignment="1">
      <alignment horizontal="center" vertical="center" wrapText="1"/>
    </xf>
    <xf numFmtId="0" fontId="8" fillId="0" borderId="1" xfId="2" applyFont="1" applyBorder="1" applyAlignment="1">
      <alignment wrapText="1"/>
    </xf>
    <xf numFmtId="0" fontId="8" fillId="0" borderId="1" xfId="2" applyFont="1" applyBorder="1" applyAlignment="1">
      <alignment horizontal="center" vertical="center" wrapText="1"/>
    </xf>
    <xf numFmtId="0" fontId="11" fillId="0" borderId="2" xfId="2" applyFont="1" applyBorder="1" applyAlignment="1">
      <alignment horizontal="center" vertical="center" wrapText="1"/>
    </xf>
    <xf numFmtId="0" fontId="11" fillId="0" borderId="1" xfId="2" applyFont="1" applyBorder="1" applyAlignment="1">
      <alignment horizontal="center" vertical="center" wrapText="1"/>
    </xf>
    <xf numFmtId="4" fontId="8" fillId="0" borderId="1" xfId="2" applyNumberFormat="1" applyFont="1" applyBorder="1" applyAlignment="1">
      <alignment horizontal="center" vertical="center" wrapText="1"/>
    </xf>
    <xf numFmtId="0" fontId="5" fillId="0" borderId="2" xfId="2" applyFont="1" applyBorder="1" applyAlignment="1">
      <alignment horizontal="center" vertical="center" wrapText="1"/>
    </xf>
    <xf numFmtId="0" fontId="5" fillId="0" borderId="1" xfId="2" applyFont="1" applyBorder="1" applyAlignment="1">
      <alignment horizontal="center" vertical="center" wrapText="1"/>
    </xf>
    <xf numFmtId="0" fontId="8" fillId="0" borderId="1" xfId="2" applyFont="1" applyBorder="1" applyAlignment="1">
      <alignment horizontal="center" wrapText="1"/>
    </xf>
    <xf numFmtId="0" fontId="14" fillId="0" borderId="0" xfId="2" applyFont="1"/>
    <xf numFmtId="0" fontId="12" fillId="0" borderId="0" xfId="2" applyFont="1" applyAlignment="1">
      <alignment horizontal="center" vertical="center"/>
    </xf>
    <xf numFmtId="0" fontId="7" fillId="0" borderId="2" xfId="2" applyFont="1" applyBorder="1" applyAlignment="1">
      <alignment horizontal="center" vertical="center" wrapText="1"/>
    </xf>
    <xf numFmtId="0" fontId="7" fillId="0" borderId="1" xfId="2" applyFont="1" applyBorder="1" applyAlignment="1">
      <alignment horizontal="center" vertical="top" wrapText="1"/>
    </xf>
    <xf numFmtId="0" fontId="6" fillId="0" borderId="0" xfId="2" applyFont="1" applyAlignment="1">
      <alignment horizontal="center" vertical="center" wrapText="1"/>
    </xf>
    <xf numFmtId="2" fontId="15" fillId="0" borderId="4" xfId="1" applyNumberFormat="1" applyFont="1" applyFill="1" applyBorder="1" applyAlignment="1">
      <alignment horizontal="right" vertical="center"/>
    </xf>
    <xf numFmtId="0" fontId="17" fillId="0" borderId="1" xfId="4" applyFont="1" applyBorder="1" applyAlignment="1">
      <alignment horizontal="center" vertical="center" wrapText="1"/>
    </xf>
    <xf numFmtId="0" fontId="7" fillId="0" borderId="1" xfId="2" applyFont="1" applyBorder="1" applyAlignment="1">
      <alignment horizontal="center" vertical="center" wrapText="1"/>
    </xf>
    <xf numFmtId="0" fontId="18" fillId="0" borderId="3" xfId="2" applyFont="1" applyBorder="1" applyAlignment="1">
      <alignment horizontal="center" vertical="center" wrapText="1"/>
    </xf>
    <xf numFmtId="0" fontId="3" fillId="0" borderId="2" xfId="2" applyBorder="1" applyAlignment="1">
      <alignment horizontal="center" vertical="center"/>
    </xf>
    <xf numFmtId="0" fontId="18" fillId="0" borderId="5" xfId="2" applyFont="1" applyBorder="1" applyAlignment="1">
      <alignment horizontal="center" vertical="center" wrapText="1"/>
    </xf>
    <xf numFmtId="0" fontId="11" fillId="0" borderId="3" xfId="2" applyFont="1" applyBorder="1" applyAlignment="1">
      <alignment horizontal="center" vertical="center" wrapText="1"/>
    </xf>
    <xf numFmtId="0" fontId="11" fillId="0" borderId="5" xfId="2" applyFont="1" applyBorder="1" applyAlignment="1">
      <alignment horizontal="center" vertical="center" wrapText="1"/>
    </xf>
    <xf numFmtId="0" fontId="14" fillId="0" borderId="1" xfId="2" applyFont="1" applyBorder="1" applyAlignment="1">
      <alignment horizontal="center"/>
    </xf>
    <xf numFmtId="1" fontId="19" fillId="0" borderId="2" xfId="2" applyNumberFormat="1" applyFont="1" applyBorder="1" applyAlignment="1">
      <alignment horizontal="center" vertical="center"/>
    </xf>
    <xf numFmtId="165" fontId="19" fillId="0" borderId="1" xfId="2" applyNumberFormat="1" applyFont="1" applyBorder="1" applyAlignment="1">
      <alignment horizontal="center" vertical="center"/>
    </xf>
    <xf numFmtId="0" fontId="3" fillId="0" borderId="1" xfId="2" applyBorder="1" applyAlignment="1">
      <alignment horizontal="center"/>
    </xf>
    <xf numFmtId="0" fontId="12" fillId="0" borderId="7" xfId="2" applyFont="1" applyBorder="1" applyAlignment="1">
      <alignment horizontal="center" vertical="center"/>
    </xf>
    <xf numFmtId="0" fontId="12" fillId="0" borderId="6" xfId="2" applyFont="1" applyBorder="1" applyAlignment="1">
      <alignment horizontal="center" vertical="center"/>
    </xf>
    <xf numFmtId="0" fontId="20" fillId="0" borderId="1" xfId="2" applyFont="1" applyBorder="1" applyAlignment="1">
      <alignment horizontal="center" vertical="center" wrapText="1"/>
    </xf>
    <xf numFmtId="1" fontId="22" fillId="0" borderId="1" xfId="5" applyNumberFormat="1" applyFont="1" applyBorder="1" applyAlignment="1">
      <alignment horizontal="center" vertical="center"/>
    </xf>
    <xf numFmtId="0" fontId="22" fillId="0" borderId="1" xfId="5" applyFont="1" applyBorder="1" applyAlignment="1">
      <alignment horizontal="center" vertical="center"/>
    </xf>
    <xf numFmtId="0" fontId="22" fillId="0" borderId="1" xfId="5" applyFont="1" applyBorder="1" applyAlignment="1">
      <alignment vertical="center"/>
    </xf>
    <xf numFmtId="4" fontId="23" fillId="0" borderId="1" xfId="5" applyNumberFormat="1" applyFont="1" applyBorder="1" applyAlignment="1">
      <alignment horizontal="center" vertical="center" wrapText="1"/>
    </xf>
    <xf numFmtId="0" fontId="23" fillId="0" borderId="1" xfId="5" applyFont="1" applyBorder="1" applyAlignment="1">
      <alignment horizontal="center" vertical="center" wrapText="1"/>
    </xf>
    <xf numFmtId="0" fontId="24" fillId="0" borderId="1" xfId="5" applyFont="1" applyBorder="1" applyAlignment="1">
      <alignment horizontal="center" vertical="center" wrapText="1"/>
    </xf>
    <xf numFmtId="0" fontId="25" fillId="0" borderId="4" xfId="5" applyFont="1" applyBorder="1" applyAlignment="1">
      <alignment horizontal="center" vertical="center" wrapText="1"/>
    </xf>
    <xf numFmtId="0" fontId="26" fillId="0" borderId="0" xfId="5" applyFont="1" applyAlignment="1">
      <alignment horizontal="center" vertical="center" wrapText="1"/>
    </xf>
    <xf numFmtId="1" fontId="27" fillId="0" borderId="0" xfId="5" applyNumberFormat="1" applyFont="1" applyAlignment="1">
      <alignment horizontal="left" vertical="center"/>
    </xf>
    <xf numFmtId="0" fontId="26" fillId="0" borderId="0" xfId="5" applyFont="1" applyAlignment="1">
      <alignment vertical="center" wrapText="1"/>
    </xf>
    <xf numFmtId="4" fontId="26" fillId="0" borderId="0" xfId="5" applyNumberFormat="1" applyFont="1" applyAlignment="1">
      <alignment horizontal="right" vertical="center"/>
    </xf>
    <xf numFmtId="4" fontId="26" fillId="0" borderId="0" xfId="5" applyNumberFormat="1" applyFont="1" applyAlignment="1">
      <alignment vertical="center"/>
    </xf>
    <xf numFmtId="0" fontId="26" fillId="0" borderId="0" xfId="6" applyFont="1" applyAlignment="1">
      <alignment vertical="center"/>
    </xf>
    <xf numFmtId="4" fontId="27" fillId="0" borderId="0" xfId="5" applyNumberFormat="1" applyFont="1" applyAlignment="1">
      <alignment vertical="center"/>
    </xf>
    <xf numFmtId="0" fontId="28" fillId="0" borderId="0" xfId="6" applyFont="1" applyAlignment="1">
      <alignment horizontal="left" vertical="center"/>
    </xf>
    <xf numFmtId="4" fontId="27" fillId="0" borderId="0" xfId="5" applyNumberFormat="1" applyFont="1" applyAlignment="1">
      <alignment horizontal="center" vertical="center"/>
    </xf>
    <xf numFmtId="0" fontId="27" fillId="0" borderId="0" xfId="5" applyFont="1" applyAlignment="1">
      <alignment horizontal="center" vertical="center"/>
    </xf>
    <xf numFmtId="0" fontId="18" fillId="0" borderId="0" xfId="6" applyFont="1"/>
    <xf numFmtId="4" fontId="26" fillId="0" borderId="0" xfId="5" applyNumberFormat="1" applyFont="1" applyAlignment="1">
      <alignment vertical="center" wrapText="1"/>
    </xf>
    <xf numFmtId="4" fontId="26" fillId="0" borderId="0" xfId="5" applyNumberFormat="1" applyFont="1" applyAlignment="1">
      <alignment horizontal="center" vertical="center" wrapText="1"/>
    </xf>
    <xf numFmtId="49" fontId="27" fillId="0" borderId="0" xfId="5" applyNumberFormat="1" applyFont="1" applyAlignment="1">
      <alignment vertical="center" wrapText="1"/>
    </xf>
    <xf numFmtId="0" fontId="27" fillId="0" borderId="0" xfId="5" applyFont="1" applyAlignment="1">
      <alignment vertical="center"/>
    </xf>
    <xf numFmtId="0" fontId="7" fillId="0" borderId="0" xfId="2" applyFont="1"/>
    <xf numFmtId="166" fontId="7" fillId="0" borderId="0" xfId="2" applyNumberFormat="1" applyFont="1"/>
    <xf numFmtId="0" fontId="7" fillId="0" borderId="0" xfId="2" applyFont="1" applyAlignment="1">
      <alignment vertical="top"/>
    </xf>
    <xf numFmtId="0" fontId="7" fillId="0" borderId="0" xfId="2" applyFont="1" applyAlignment="1">
      <alignment horizontal="center" vertical="top"/>
    </xf>
    <xf numFmtId="0" fontId="7" fillId="0" borderId="0" xfId="2" applyFont="1" applyAlignment="1">
      <alignment horizontal="left"/>
    </xf>
    <xf numFmtId="0" fontId="31" fillId="0" borderId="0" xfId="2" applyFont="1"/>
    <xf numFmtId="0" fontId="31" fillId="0" borderId="0" xfId="2" applyFont="1" applyAlignment="1">
      <alignment vertical="top"/>
    </xf>
    <xf numFmtId="0" fontId="5" fillId="0" borderId="0" xfId="2" applyFont="1"/>
    <xf numFmtId="0" fontId="7" fillId="0" borderId="6" xfId="2" applyFont="1" applyBorder="1"/>
    <xf numFmtId="0" fontId="7" fillId="0" borderId="6" xfId="2" applyFont="1" applyBorder="1" applyAlignment="1">
      <alignment horizontal="center"/>
    </xf>
    <xf numFmtId="0" fontId="7" fillId="0" borderId="2" xfId="2" applyFont="1" applyBorder="1" applyAlignment="1">
      <alignment horizontal="center"/>
    </xf>
    <xf numFmtId="0" fontId="7" fillId="0" borderId="1" xfId="2" applyFont="1" applyBorder="1" applyAlignment="1">
      <alignment vertical="top"/>
    </xf>
    <xf numFmtId="0" fontId="7" fillId="0" borderId="3" xfId="2" applyFont="1" applyBorder="1" applyAlignment="1">
      <alignment horizontal="center" vertical="top"/>
    </xf>
    <xf numFmtId="0" fontId="7" fillId="0" borderId="2" xfId="2" applyFont="1" applyBorder="1" applyAlignment="1">
      <alignment vertical="top"/>
    </xf>
    <xf numFmtId="0" fontId="7" fillId="0" borderId="1" xfId="2" applyFont="1" applyBorder="1" applyAlignment="1">
      <alignment horizontal="center" vertical="top"/>
    </xf>
    <xf numFmtId="0" fontId="7" fillId="0" borderId="1" xfId="2" applyFont="1" applyBorder="1" applyAlignment="1">
      <alignment horizontal="center" vertical="center"/>
    </xf>
    <xf numFmtId="2" fontId="7" fillId="0" borderId="3" xfId="2" applyNumberFormat="1" applyFont="1" applyBorder="1" applyAlignment="1">
      <alignment horizontal="center" vertical="top"/>
    </xf>
    <xf numFmtId="0" fontId="4" fillId="0" borderId="0" xfId="2" applyFont="1"/>
    <xf numFmtId="0" fontId="7" fillId="0" borderId="2" xfId="2" applyFont="1" applyBorder="1" applyAlignment="1">
      <alignment horizontal="left" vertical="top" wrapText="1"/>
    </xf>
    <xf numFmtId="0" fontId="4" fillId="0" borderId="1" xfId="2" applyFont="1" applyBorder="1"/>
    <xf numFmtId="0" fontId="4" fillId="0" borderId="2" xfId="2" applyFont="1" applyBorder="1"/>
    <xf numFmtId="0" fontId="4" fillId="0" borderId="1" xfId="2" applyFont="1" applyBorder="1" applyAlignment="1">
      <alignment vertical="top"/>
    </xf>
    <xf numFmtId="0" fontId="4" fillId="0" borderId="2" xfId="2" applyFont="1" applyBorder="1" applyAlignment="1">
      <alignment vertical="top"/>
    </xf>
    <xf numFmtId="0" fontId="4" fillId="0" borderId="1" xfId="2" applyFont="1" applyBorder="1" applyAlignment="1">
      <alignment horizontal="center" vertical="center"/>
    </xf>
    <xf numFmtId="0" fontId="7" fillId="0" borderId="6" xfId="2" applyFont="1" applyBorder="1" applyAlignment="1">
      <alignment vertical="top"/>
    </xf>
    <xf numFmtId="0" fontId="4" fillId="0" borderId="3" xfId="2" applyFont="1" applyBorder="1" applyAlignment="1">
      <alignment vertical="top"/>
    </xf>
    <xf numFmtId="0" fontId="4" fillId="0" borderId="8" xfId="2" applyFont="1" applyBorder="1" applyAlignment="1">
      <alignment vertical="top"/>
    </xf>
    <xf numFmtId="0" fontId="4" fillId="0" borderId="5" xfId="2" applyFont="1" applyBorder="1"/>
    <xf numFmtId="0" fontId="4" fillId="0" borderId="3" xfId="2" applyFont="1" applyBorder="1" applyAlignment="1">
      <alignment horizontal="center" vertical="center"/>
    </xf>
    <xf numFmtId="0" fontId="7" fillId="0" borderId="8" xfId="2" applyFont="1" applyBorder="1"/>
    <xf numFmtId="0" fontId="7" fillId="0" borderId="9" xfId="2" applyFont="1" applyBorder="1"/>
    <xf numFmtId="0" fontId="7" fillId="0" borderId="8" xfId="2" applyFont="1" applyBorder="1" applyAlignment="1">
      <alignment horizontal="center" vertical="center"/>
    </xf>
    <xf numFmtId="0" fontId="4" fillId="0" borderId="6" xfId="2" applyFont="1" applyBorder="1"/>
    <xf numFmtId="0" fontId="7" fillId="0" borderId="9" xfId="2" applyFont="1" applyBorder="1" applyAlignment="1">
      <alignment horizontal="center" vertical="center"/>
    </xf>
    <xf numFmtId="0" fontId="32" fillId="0" borderId="1" xfId="2" applyFont="1" applyBorder="1" applyAlignment="1">
      <alignment horizontal="center" vertical="center"/>
    </xf>
    <xf numFmtId="0" fontId="7" fillId="0" borderId="2" xfId="2" applyFont="1" applyBorder="1" applyAlignment="1">
      <alignment horizontal="center" vertical="center"/>
    </xf>
    <xf numFmtId="166" fontId="32" fillId="0" borderId="3" xfId="2" applyNumberFormat="1" applyFont="1" applyBorder="1" applyAlignment="1">
      <alignment vertical="top"/>
    </xf>
    <xf numFmtId="0" fontId="32" fillId="0" borderId="3" xfId="2" applyFont="1" applyBorder="1" applyAlignment="1">
      <alignment horizontal="center" vertical="top"/>
    </xf>
    <xf numFmtId="49" fontId="32" fillId="0" borderId="8" xfId="2" applyNumberFormat="1" applyFont="1" applyBorder="1" applyAlignment="1">
      <alignment vertical="top"/>
    </xf>
    <xf numFmtId="0" fontId="32" fillId="0" borderId="8" xfId="2" applyFont="1" applyBorder="1" applyAlignment="1">
      <alignment horizontal="center" vertical="top"/>
    </xf>
    <xf numFmtId="166" fontId="32" fillId="0" borderId="4" xfId="2" applyNumberFormat="1" applyFont="1" applyBorder="1" applyAlignment="1">
      <alignment vertical="top"/>
    </xf>
    <xf numFmtId="0" fontId="32" fillId="0" borderId="4" xfId="2" applyFont="1" applyBorder="1" applyAlignment="1">
      <alignment horizontal="center" vertical="top"/>
    </xf>
    <xf numFmtId="0" fontId="32" fillId="0" borderId="0" xfId="2" applyFont="1"/>
    <xf numFmtId="0" fontId="34" fillId="0" borderId="0" xfId="2" applyFont="1"/>
    <xf numFmtId="0" fontId="34" fillId="0" borderId="0" xfId="2" applyFont="1" applyAlignment="1">
      <alignment wrapText="1"/>
    </xf>
    <xf numFmtId="0" fontId="32" fillId="0" borderId="0" xfId="2" applyFont="1" applyAlignment="1">
      <alignment wrapText="1"/>
    </xf>
    <xf numFmtId="4" fontId="32" fillId="0" borderId="0" xfId="2" applyNumberFormat="1" applyFont="1" applyAlignment="1">
      <alignment vertical="top"/>
    </xf>
    <xf numFmtId="0" fontId="32" fillId="0" borderId="0" xfId="2" applyFont="1" applyAlignment="1">
      <alignment vertical="top"/>
    </xf>
    <xf numFmtId="0" fontId="35" fillId="0" borderId="0" xfId="2" applyFont="1" applyAlignment="1">
      <alignment wrapText="1"/>
    </xf>
    <xf numFmtId="4" fontId="3" fillId="0" borderId="0" xfId="2" applyNumberFormat="1"/>
    <xf numFmtId="0" fontId="36" fillId="0" borderId="0" xfId="4" applyFont="1" applyAlignment="1">
      <alignment horizontal="left" vertical="center"/>
    </xf>
    <xf numFmtId="0" fontId="27" fillId="0" borderId="0" xfId="2" applyFont="1" applyAlignment="1">
      <alignment horizontal="left" vertical="center"/>
    </xf>
    <xf numFmtId="166" fontId="32" fillId="0" borderId="0" xfId="2" applyNumberFormat="1" applyFont="1"/>
    <xf numFmtId="4" fontId="39" fillId="0" borderId="0" xfId="0" applyNumberFormat="1" applyFont="1" applyAlignment="1">
      <alignment horizontal="center" vertical="center" wrapText="1"/>
    </xf>
    <xf numFmtId="4" fontId="40" fillId="0" borderId="0" xfId="0" applyNumberFormat="1" applyFont="1" applyAlignment="1">
      <alignment horizontal="center" vertical="center" wrapText="1"/>
    </xf>
    <xf numFmtId="4" fontId="41" fillId="0" borderId="0" xfId="0" applyNumberFormat="1" applyFont="1" applyAlignment="1">
      <alignment horizontal="center" vertical="center" wrapText="1"/>
    </xf>
    <xf numFmtId="4" fontId="42" fillId="0" borderId="0" xfId="0" applyNumberFormat="1" applyFont="1" applyAlignment="1">
      <alignment horizontal="center" vertical="center"/>
    </xf>
    <xf numFmtId="4" fontId="43" fillId="0" borderId="0" xfId="0" applyNumberFormat="1" applyFont="1" applyAlignment="1">
      <alignment horizontal="center" vertical="center"/>
    </xf>
    <xf numFmtId="4" fontId="44" fillId="0" borderId="0" xfId="0" applyNumberFormat="1" applyFont="1" applyAlignment="1">
      <alignment horizontal="center" vertical="center"/>
    </xf>
    <xf numFmtId="4" fontId="39" fillId="3" borderId="0" xfId="0" applyNumberFormat="1" applyFont="1" applyFill="1" applyAlignment="1">
      <alignment horizontal="center" vertical="center" wrapText="1"/>
    </xf>
    <xf numFmtId="4" fontId="40" fillId="3" borderId="0" xfId="0" applyNumberFormat="1" applyFont="1" applyFill="1" applyAlignment="1">
      <alignment horizontal="center" vertical="center" wrapText="1"/>
    </xf>
    <xf numFmtId="4" fontId="41" fillId="3" borderId="0" xfId="0" applyNumberFormat="1" applyFont="1" applyFill="1" applyAlignment="1">
      <alignment horizontal="center" vertical="center" wrapText="1"/>
    </xf>
    <xf numFmtId="0" fontId="4" fillId="0" borderId="0" xfId="2" applyFont="1" applyAlignment="1">
      <alignment horizontal="center" vertical="center"/>
    </xf>
    <xf numFmtId="0" fontId="27" fillId="0" borderId="0" xfId="2" applyFont="1" applyAlignment="1">
      <alignment horizontal="center" vertical="center" wrapText="1"/>
    </xf>
    <xf numFmtId="0" fontId="5" fillId="0" borderId="0" xfId="2" applyFont="1" applyAlignment="1">
      <alignment horizontal="center"/>
    </xf>
    <xf numFmtId="0" fontId="11" fillId="0" borderId="0" xfId="2" applyFont="1" applyAlignment="1">
      <alignment horizontal="center" vertical="center" wrapText="1"/>
    </xf>
    <xf numFmtId="0" fontId="20" fillId="0" borderId="0" xfId="2" applyFont="1" applyAlignment="1">
      <alignment horizontal="center" vertical="center" wrapText="1"/>
    </xf>
    <xf numFmtId="0" fontId="8" fillId="0" borderId="1" xfId="2" applyFont="1" applyBorder="1" applyAlignment="1">
      <alignment horizontal="left" vertical="center" wrapText="1"/>
    </xf>
    <xf numFmtId="0" fontId="12" fillId="0" borderId="0" xfId="2" applyFont="1" applyAlignment="1">
      <alignment horizontal="center" vertical="center" wrapText="1"/>
    </xf>
    <xf numFmtId="4" fontId="27" fillId="0" borderId="0" xfId="5" applyNumberFormat="1" applyFont="1" applyAlignment="1">
      <alignment horizontal="center" vertical="center" wrapText="1"/>
    </xf>
    <xf numFmtId="0" fontId="29" fillId="0" borderId="0" xfId="2" applyFont="1" applyAlignment="1">
      <alignment horizontal="center" vertical="center" wrapText="1"/>
    </xf>
    <xf numFmtId="0" fontId="3" fillId="0" borderId="0" xfId="2" applyAlignment="1">
      <alignment horizontal="center" vertical="center" wrapText="1"/>
    </xf>
    <xf numFmtId="0" fontId="45" fillId="0" borderId="0" xfId="2" applyFont="1" applyAlignment="1">
      <alignment horizontal="center" vertical="center" wrapText="1"/>
    </xf>
    <xf numFmtId="4" fontId="50" fillId="0" borderId="1" xfId="2" applyNumberFormat="1" applyFont="1" applyBorder="1" applyAlignment="1">
      <alignment horizontal="center" vertical="center" wrapText="1"/>
    </xf>
    <xf numFmtId="4" fontId="18" fillId="0" borderId="0" xfId="6" applyNumberFormat="1" applyFont="1"/>
    <xf numFmtId="4" fontId="28" fillId="0" borderId="0" xfId="6" applyNumberFormat="1" applyFont="1" applyAlignment="1">
      <alignment horizontal="left" vertical="center"/>
    </xf>
    <xf numFmtId="4" fontId="23" fillId="0" borderId="1" xfId="5" applyNumberFormat="1" applyFont="1" applyBorder="1" applyAlignment="1">
      <alignment horizontal="center" vertical="center"/>
    </xf>
    <xf numFmtId="4" fontId="22" fillId="0" borderId="1" xfId="5" applyNumberFormat="1" applyFont="1" applyBorder="1" applyAlignment="1">
      <alignment horizontal="center" vertical="center"/>
    </xf>
    <xf numFmtId="4" fontId="49" fillId="0" borderId="0" xfId="2" applyNumberFormat="1" applyFont="1"/>
    <xf numFmtId="4" fontId="10" fillId="0" borderId="1" xfId="3" applyNumberFormat="1" applyFont="1" applyBorder="1" applyAlignment="1">
      <alignment horizontal="center" vertical="center" wrapText="1"/>
    </xf>
    <xf numFmtId="4" fontId="48" fillId="0" borderId="1" xfId="2" applyNumberFormat="1" applyFont="1" applyBorder="1" applyAlignment="1">
      <alignment horizontal="center" vertical="center"/>
    </xf>
    <xf numFmtId="4" fontId="49" fillId="0" borderId="1" xfId="2" applyNumberFormat="1" applyFont="1" applyBorder="1" applyAlignment="1">
      <alignment horizontal="center" vertical="center"/>
    </xf>
    <xf numFmtId="4" fontId="3" fillId="0" borderId="1" xfId="2" applyNumberFormat="1" applyBorder="1" applyAlignment="1">
      <alignment horizontal="center" vertical="center"/>
    </xf>
    <xf numFmtId="4" fontId="11" fillId="0" borderId="1" xfId="2" applyNumberFormat="1" applyFont="1" applyBorder="1" applyAlignment="1">
      <alignment horizontal="center" vertical="center"/>
    </xf>
    <xf numFmtId="4" fontId="46" fillId="0" borderId="1" xfId="3" applyNumberFormat="1" applyFont="1" applyBorder="1" applyAlignment="1">
      <alignment horizontal="center" vertical="center" wrapText="1"/>
    </xf>
    <xf numFmtId="4" fontId="49" fillId="0" borderId="1" xfId="2" applyNumberFormat="1" applyFont="1" applyBorder="1"/>
    <xf numFmtId="4" fontId="3" fillId="0" borderId="1" xfId="2" applyNumberFormat="1" applyBorder="1"/>
    <xf numFmtId="4" fontId="11" fillId="0" borderId="0" xfId="2" applyNumberFormat="1" applyFont="1" applyAlignment="1">
      <alignment wrapText="1"/>
    </xf>
    <xf numFmtId="4" fontId="5" fillId="0" borderId="0" xfId="2" applyNumberFormat="1" applyFont="1" applyAlignment="1">
      <alignment wrapText="1"/>
    </xf>
    <xf numFmtId="4" fontId="4" fillId="0" borderId="0" xfId="2" applyNumberFormat="1" applyFont="1" applyAlignment="1">
      <alignment horizontal="center" vertical="center"/>
    </xf>
    <xf numFmtId="4" fontId="49" fillId="0" borderId="0" xfId="2" applyNumberFormat="1" applyFont="1" applyAlignment="1">
      <alignment horizontal="center" vertical="center"/>
    </xf>
    <xf numFmtId="4" fontId="47" fillId="0" borderId="1" xfId="2" applyNumberFormat="1" applyFont="1" applyBorder="1" applyAlignment="1">
      <alignment horizontal="center" vertical="center"/>
    </xf>
    <xf numFmtId="166" fontId="32" fillId="0" borderId="4" xfId="2" applyNumberFormat="1" applyFont="1" applyBorder="1" applyAlignment="1">
      <alignment vertical="top" wrapText="1"/>
    </xf>
    <xf numFmtId="4" fontId="34" fillId="0" borderId="7" xfId="2" applyNumberFormat="1" applyFont="1" applyBorder="1" applyAlignment="1">
      <alignment horizontal="center" vertical="center"/>
    </xf>
    <xf numFmtId="0" fontId="34" fillId="0" borderId="6" xfId="2" applyFont="1" applyBorder="1" applyAlignment="1">
      <alignment horizontal="right" vertical="center"/>
    </xf>
    <xf numFmtId="4" fontId="11" fillId="0" borderId="13" xfId="2" applyNumberFormat="1" applyFont="1" applyBorder="1" applyAlignment="1">
      <alignment horizontal="center" vertical="center"/>
    </xf>
    <xf numFmtId="0" fontId="45" fillId="0" borderId="10" xfId="2" applyFont="1" applyBorder="1" applyAlignment="1">
      <alignment horizontal="center" vertical="center" wrapText="1"/>
    </xf>
    <xf numFmtId="4" fontId="5" fillId="0" borderId="11" xfId="2" applyNumberFormat="1" applyFont="1" applyBorder="1" applyAlignment="1">
      <alignment horizontal="center" wrapText="1"/>
    </xf>
    <xf numFmtId="4" fontId="5" fillId="0" borderId="12" xfId="2" applyNumberFormat="1" applyFont="1" applyBorder="1" applyAlignment="1">
      <alignment horizontal="center" wrapText="1"/>
    </xf>
    <xf numFmtId="0" fontId="7" fillId="0" borderId="0" xfId="2" applyFont="1" applyAlignment="1">
      <alignment horizontal="center" wrapText="1"/>
    </xf>
    <xf numFmtId="0" fontId="7" fillId="0" borderId="0" xfId="2" applyFont="1" applyAlignment="1">
      <alignment horizontal="center"/>
    </xf>
    <xf numFmtId="4" fontId="0" fillId="0" borderId="0" xfId="0" applyNumberFormat="1" applyAlignment="1">
      <alignment horizontal="center" vertical="center" wrapText="1"/>
    </xf>
    <xf numFmtId="4" fontId="0" fillId="0" borderId="0" xfId="0" applyNumberFormat="1" applyAlignment="1">
      <alignment horizontal="center" vertical="center"/>
    </xf>
    <xf numFmtId="0" fontId="6" fillId="0" borderId="1" xfId="2" applyFont="1" applyBorder="1" applyAlignment="1">
      <alignment horizontal="center" vertical="center" wrapText="1"/>
    </xf>
    <xf numFmtId="0" fontId="6" fillId="0" borderId="2" xfId="2" applyFont="1" applyBorder="1" applyAlignment="1">
      <alignment horizontal="center" vertical="center" wrapText="1"/>
    </xf>
    <xf numFmtId="1" fontId="27" fillId="0" borderId="0" xfId="5" applyNumberFormat="1" applyFont="1" applyAlignment="1">
      <alignment horizontal="center" vertical="center" wrapText="1"/>
    </xf>
    <xf numFmtId="0" fontId="12" fillId="0" borderId="1" xfId="2" applyFont="1" applyBorder="1" applyAlignment="1">
      <alignment horizontal="center" vertical="center"/>
    </xf>
    <xf numFmtId="0" fontId="12" fillId="0" borderId="2" xfId="2" applyFont="1" applyBorder="1" applyAlignment="1">
      <alignment horizontal="center" vertical="center"/>
    </xf>
    <xf numFmtId="0" fontId="11" fillId="0" borderId="2" xfId="2" applyFont="1" applyBorder="1" applyAlignment="1">
      <alignment horizontal="center" vertical="center"/>
    </xf>
    <xf numFmtId="0" fontId="11" fillId="0" borderId="6" xfId="2" applyFont="1" applyBorder="1" applyAlignment="1">
      <alignment horizontal="center" vertical="center"/>
    </xf>
    <xf numFmtId="0" fontId="22" fillId="0" borderId="2" xfId="5" applyFont="1" applyBorder="1" applyAlignment="1">
      <alignment horizontal="center" vertical="center" wrapText="1"/>
    </xf>
    <xf numFmtId="0" fontId="22" fillId="0" borderId="6" xfId="5" applyFont="1" applyBorder="1" applyAlignment="1">
      <alignment horizontal="center" vertical="center" wrapText="1"/>
    </xf>
    <xf numFmtId="0" fontId="22" fillId="0" borderId="7" xfId="5" applyFont="1" applyBorder="1" applyAlignment="1">
      <alignment horizontal="center" vertical="center" wrapText="1"/>
    </xf>
    <xf numFmtId="4" fontId="22" fillId="0" borderId="2" xfId="5" applyNumberFormat="1" applyFont="1" applyBorder="1" applyAlignment="1" applyProtection="1">
      <alignment horizontal="center" vertical="center" wrapText="1"/>
      <protection locked="0"/>
    </xf>
    <xf numFmtId="4" fontId="22" fillId="0" borderId="6" xfId="5" applyNumberFormat="1" applyFont="1" applyBorder="1" applyAlignment="1" applyProtection="1">
      <alignment horizontal="center" vertical="center" wrapText="1"/>
      <protection locked="0"/>
    </xf>
    <xf numFmtId="4" fontId="22" fillId="0" borderId="6" xfId="5" applyNumberFormat="1" applyFont="1" applyBorder="1" applyAlignment="1">
      <alignment horizontal="center" vertical="center" wrapText="1"/>
    </xf>
    <xf numFmtId="4" fontId="22" fillId="0" borderId="7" xfId="5" applyNumberFormat="1" applyFont="1" applyBorder="1" applyAlignment="1">
      <alignment horizontal="center" vertical="center" wrapText="1"/>
    </xf>
    <xf numFmtId="0" fontId="12" fillId="0" borderId="6" xfId="2" applyFont="1" applyBorder="1" applyAlignment="1">
      <alignment horizontal="center" vertical="center"/>
    </xf>
    <xf numFmtId="0" fontId="30" fillId="0" borderId="0" xfId="2" applyFont="1" applyAlignment="1">
      <alignment horizontal="left" vertical="center" wrapText="1"/>
    </xf>
    <xf numFmtId="0" fontId="30" fillId="0" borderId="0" xfId="2" applyFont="1" applyAlignment="1">
      <alignment horizontal="left" vertical="center"/>
    </xf>
    <xf numFmtId="0" fontId="3" fillId="0" borderId="1" xfId="2" applyBorder="1" applyAlignment="1">
      <alignment horizontal="center" wrapText="1"/>
    </xf>
    <xf numFmtId="0" fontId="27" fillId="0" borderId="0" xfId="2" applyFont="1" applyAlignment="1">
      <alignment horizontal="center" vertical="center" wrapText="1"/>
    </xf>
    <xf numFmtId="0" fontId="31" fillId="0" borderId="0" xfId="2" applyFont="1" applyAlignment="1">
      <alignment horizontal="left" vertical="top" wrapText="1"/>
    </xf>
    <xf numFmtId="0" fontId="33" fillId="0" borderId="1" xfId="2" applyFont="1" applyBorder="1" applyAlignment="1">
      <alignment horizontal="center" vertical="center"/>
    </xf>
    <xf numFmtId="0" fontId="32" fillId="0" borderId="4" xfId="2" applyFont="1" applyBorder="1" applyAlignment="1">
      <alignment horizontal="center" vertical="center" wrapText="1"/>
    </xf>
    <xf numFmtId="0" fontId="32" fillId="0" borderId="8" xfId="2" applyFont="1" applyBorder="1" applyAlignment="1">
      <alignment horizontal="center" vertical="center" wrapText="1"/>
    </xf>
    <xf numFmtId="0" fontId="32" fillId="0" borderId="3" xfId="2" applyFont="1" applyBorder="1" applyAlignment="1">
      <alignment horizontal="center" vertical="center" wrapText="1"/>
    </xf>
    <xf numFmtId="0" fontId="32" fillId="0" borderId="4" xfId="2" applyFont="1" applyBorder="1" applyAlignment="1">
      <alignment horizontal="center" vertical="top"/>
    </xf>
    <xf numFmtId="0" fontId="32" fillId="0" borderId="8" xfId="2" applyFont="1" applyBorder="1" applyAlignment="1">
      <alignment horizontal="center" vertical="top"/>
    </xf>
  </cellXfs>
  <cellStyles count="15">
    <cellStyle name="Bad" xfId="1" builtinId="27"/>
    <cellStyle name="Comma 2" xfId="8" xr:uid="{7B9C8A24-AED0-4621-A83B-490BC49FD5C8}"/>
    <cellStyle name="Excel Built-in Normal" xfId="3" xr:uid="{968AC1ED-7C72-480E-89B8-C9EFEFA82130}"/>
    <cellStyle name="Excel Built-in Normal 2" xfId="10" xr:uid="{7A75FF2D-2F13-496F-8C11-46EB36E60C0D}"/>
    <cellStyle name="Excel Built-in Normal 2 2" xfId="11" xr:uid="{95251124-9286-4D33-BB13-FA03DE9D5AD0}"/>
    <cellStyle name="Excel Built-in Normal 3" xfId="13" xr:uid="{241B6A8D-6DD2-40AE-96AD-C9D8C350FD0D}"/>
    <cellStyle name="Normal" xfId="0" builtinId="0"/>
    <cellStyle name="Normal 2" xfId="2" xr:uid="{9278B0EE-C8CD-46D5-BA97-6DF88BC10532}"/>
    <cellStyle name="Normal 2 2" xfId="5" xr:uid="{E4253CB1-AFE4-42A9-8274-8E47BDB1B0E9}"/>
    <cellStyle name="Normal 3" xfId="4" xr:uid="{35414F25-0141-46E2-8669-69113434FEB3}"/>
    <cellStyle name="Normal 3 2" xfId="6" xr:uid="{8C409421-743A-4EB3-8177-3CB360D8D18E}"/>
    <cellStyle name="Normal 4 9" xfId="9" xr:uid="{0745FBFF-F76F-4CF7-BA08-9497BFB7BFDC}"/>
    <cellStyle name="Normal 4 9 2" xfId="12" xr:uid="{74B39363-B573-4035-B8E1-6908F2262746}"/>
    <cellStyle name="Normal 4 9 3" xfId="14" xr:uid="{036DAEAE-CB34-474E-A61D-76119AD6E38D}"/>
    <cellStyle name="Normal 5" xfId="7" xr:uid="{2492176A-E193-4801-9655-C59E23D6A71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400050</xdr:colOff>
      <xdr:row>0</xdr:row>
      <xdr:rowOff>38101</xdr:rowOff>
    </xdr:from>
    <xdr:to>
      <xdr:col>2</xdr:col>
      <xdr:colOff>1355558</xdr:colOff>
      <xdr:row>0</xdr:row>
      <xdr:rowOff>838201</xdr:rowOff>
    </xdr:to>
    <xdr:pic>
      <xdr:nvPicPr>
        <xdr:cNvPr id="2" name="Picture 2">
          <a:extLst>
            <a:ext uri="{FF2B5EF4-FFF2-40B4-BE49-F238E27FC236}">
              <a16:creationId xmlns:a16="http://schemas.microsoft.com/office/drawing/2014/main" id="{FDA9EF35-3397-489C-B073-F016924F0B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4875" y="38101"/>
          <a:ext cx="1431758"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2</xdr:col>
      <xdr:colOff>1619250</xdr:colOff>
      <xdr:row>0</xdr:row>
      <xdr:rowOff>828675</xdr:rowOff>
    </xdr:to>
    <xdr:pic>
      <xdr:nvPicPr>
        <xdr:cNvPr id="2" name="Picture 2">
          <a:extLst>
            <a:ext uri="{FF2B5EF4-FFF2-40B4-BE49-F238E27FC236}">
              <a16:creationId xmlns:a16="http://schemas.microsoft.com/office/drawing/2014/main" id="{FB80A773-4C2A-44D4-A6C0-E2BC83D9CA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0125" y="0"/>
          <a:ext cx="161925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er2\01_proiecte\201507-BLS3_05\02-ARH\09_MODELE\MODEL%20COMPLET\ECONOMIC\20170418_TERMINATOR_HG907.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PRJ-ARH\201708-PSUD\07_Deviz\20171005_DG_HG28_PSud.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GEN"/>
      <sheetName val="CAP_3"/>
      <sheetName val="CAP_4"/>
      <sheetName val="CAP_5"/>
      <sheetName val="35_INDICI"/>
      <sheetName val="F1"/>
      <sheetName val="F2_HG28"/>
      <sheetName val="F2_CAP4"/>
      <sheetName val="F3_CONSTR_HG28"/>
      <sheetName val="F3_IZOL_HG28"/>
      <sheetName val="F3_IT"/>
      <sheetName val="F3_IS"/>
      <sheetName val="F3_IG"/>
      <sheetName val="F3_IE"/>
      <sheetName val="F3_ORG_S"/>
      <sheetName val="ANTEMAS"/>
      <sheetName val="F4"/>
      <sheetName val="F5"/>
      <sheetName val="F6"/>
      <sheetName val="F3__DET_C"/>
      <sheetName val="0F1"/>
      <sheetName val="0F2_HG28"/>
      <sheetName val="0F2_CAP4"/>
      <sheetName val="0F3_CONSTR_HG28"/>
      <sheetName val="0F3_IZOL_HG28"/>
      <sheetName val="0F3_IT"/>
      <sheetName val="0F3_IS"/>
      <sheetName val="0F3_IG"/>
      <sheetName val="0F3_IE"/>
      <sheetName val="0F3_ORG_S"/>
      <sheetName val="0ANTEMAS"/>
      <sheetName val="0F4"/>
      <sheetName val="0F5"/>
      <sheetName val="0F6"/>
      <sheetName val="0F3__DET_C"/>
      <sheetName val="Sablon"/>
      <sheetName val="BORD_C"/>
      <sheetName val="BORD_C_NOU"/>
      <sheetName val="sursa_F3__DET_C"/>
      <sheetName val="CAP_1"/>
      <sheetName val="CAP_2"/>
      <sheetName val="sursa_F3_IT"/>
      <sheetName val="sursa_F3_IE"/>
      <sheetName val="Rulaj_Constructor"/>
      <sheetName val="Anexa"/>
      <sheetName val="LUCRU"/>
      <sheetName val="GENV2_1"/>
      <sheetName val="GENV2_2"/>
      <sheetName val="Data"/>
      <sheetName val="CAP.3"/>
      <sheetName val="CAP.4"/>
      <sheetName val="CAP.5"/>
      <sheetName val="35 INDICI"/>
      <sheetName val="F3 ORG S"/>
      <sheetName val="F3 _DET_C"/>
      <sheetName val="0F3 ORG S"/>
      <sheetName val="0F3 _DET_C"/>
      <sheetName val="sursa_F3 _DET_C"/>
      <sheetName val="CAP.1"/>
      <sheetName val="CAP.2"/>
    </sheetNames>
    <sheetDataSet>
      <sheetData sheetId="0" refreshError="1">
        <row r="16">
          <cell r="E16">
            <v>1</v>
          </cell>
        </row>
        <row r="17">
          <cell r="E17">
            <v>1</v>
          </cell>
        </row>
        <row r="18">
          <cell r="E18">
            <v>0.7</v>
          </cell>
        </row>
        <row r="19">
          <cell r="E19">
            <v>1</v>
          </cell>
        </row>
        <row r="21">
          <cell r="E21">
            <v>1</v>
          </cell>
        </row>
        <row r="22">
          <cell r="E22">
            <v>1</v>
          </cell>
        </row>
        <row r="25">
          <cell r="B25">
            <v>4.5467000000000004</v>
          </cell>
        </row>
        <row r="29">
          <cell r="B29">
            <v>4</v>
          </cell>
        </row>
      </sheetData>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sheetData sheetId="36" refreshError="1"/>
      <sheetData sheetId="37" refreshError="1"/>
      <sheetData sheetId="38" refreshError="1"/>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
      <sheetName val="Cap1"/>
      <sheetName val="Cap2"/>
      <sheetName val="Cap3"/>
      <sheetName val="Cap4_C1"/>
      <sheetName val="Cap4_C2"/>
      <sheetName val="Cap4_C4"/>
      <sheetName val="Cap4_Gospodarie_apa"/>
      <sheetName val="Amenajare_ext"/>
      <sheetName val="Cap5"/>
      <sheetName val="Grafic_Esalonare"/>
      <sheetName val="F3_C1_TERASAMENTE"/>
      <sheetName val="F3_C1_ARHITECTURA"/>
      <sheetName val="F3_C1_STRUCTURA"/>
      <sheetName val="F3_C1_HVAC"/>
      <sheetName val="F3_C1_IE"/>
      <sheetName val="F3_C1_IS"/>
      <sheetName val="F3_C1_IG"/>
    </sheetNames>
    <sheetDataSet>
      <sheetData sheetId="0">
        <row r="11">
          <cell r="C11">
            <v>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Temă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22554-4C5F-49E1-BCC1-3903AA68E1AF}">
  <sheetPr>
    <tabColor rgb="FFFFFF00"/>
    <pageSetUpPr fitToPage="1"/>
  </sheetPr>
  <dimension ref="A1:AMI197"/>
  <sheetViews>
    <sheetView tabSelected="1" topLeftCell="A184" zoomScaleNormal="100" workbookViewId="0">
      <selection activeCell="N191" sqref="N191"/>
    </sheetView>
  </sheetViews>
  <sheetFormatPr defaultColWidth="9" defaultRowHeight="14.5" x14ac:dyDescent="0.35"/>
  <cols>
    <col min="1" max="1" width="7.54296875" style="1" customWidth="1"/>
    <col min="2" max="2" width="7.1796875" style="1" customWidth="1"/>
    <col min="3" max="3" width="61.54296875" style="1" customWidth="1"/>
    <col min="4" max="4" width="5.26953125" style="1" customWidth="1"/>
    <col min="5" max="5" width="10" style="2" customWidth="1"/>
    <col min="6" max="6" width="11" style="135" customWidth="1"/>
    <col min="7" max="7" width="9" style="106" customWidth="1"/>
    <col min="8" max="8" width="8" style="106" customWidth="1"/>
    <col min="9" max="9" width="6" style="106" customWidth="1"/>
    <col min="10" max="10" width="6.54296875" style="106" customWidth="1"/>
    <col min="11" max="11" width="11.54296875" style="147" customWidth="1"/>
    <col min="12" max="12" width="16.81640625" style="128" customWidth="1"/>
    <col min="13" max="13" width="11.26953125" style="1" customWidth="1"/>
    <col min="14" max="14" width="12.7265625" style="1" customWidth="1"/>
    <col min="15" max="15" width="12" style="1" customWidth="1"/>
    <col min="16" max="16" width="13.54296875" style="1" customWidth="1"/>
    <col min="17" max="17" width="15.7265625" style="1" customWidth="1"/>
    <col min="18" max="18" width="14.7265625" style="1" customWidth="1"/>
    <col min="19" max="16384" width="9" style="1"/>
  </cols>
  <sheetData>
    <row r="1" spans="1:1023" ht="71.25" customHeight="1" x14ac:dyDescent="0.35">
      <c r="B1" s="57"/>
      <c r="C1" s="156" t="s">
        <v>224</v>
      </c>
      <c r="D1" s="157"/>
      <c r="E1" s="157"/>
      <c r="F1" s="157"/>
      <c r="G1" s="158" t="s">
        <v>225</v>
      </c>
      <c r="H1" s="159"/>
      <c r="I1" s="57"/>
      <c r="J1" s="57"/>
      <c r="K1" s="57"/>
      <c r="L1" s="57" t="s">
        <v>226</v>
      </c>
      <c r="M1" s="57"/>
      <c r="N1" s="57"/>
      <c r="O1" s="57"/>
      <c r="P1" s="57"/>
      <c r="Q1" s="57"/>
      <c r="R1" s="57"/>
      <c r="S1" s="57"/>
      <c r="T1" s="57"/>
      <c r="U1" s="57"/>
      <c r="V1" s="57"/>
      <c r="W1" s="57"/>
      <c r="X1" s="57"/>
      <c r="Y1" s="57"/>
      <c r="Z1" s="57"/>
      <c r="AA1" s="57"/>
      <c r="AB1" s="57"/>
      <c r="AC1" s="57"/>
      <c r="AD1" s="57"/>
      <c r="AE1" s="57"/>
      <c r="AF1" s="57"/>
      <c r="AG1" s="57"/>
      <c r="AH1" s="57"/>
      <c r="AI1" s="57"/>
      <c r="AJ1" s="57"/>
      <c r="AK1" s="57"/>
      <c r="AL1" s="57"/>
      <c r="AM1" s="57"/>
      <c r="AN1" s="57"/>
      <c r="AO1" s="57"/>
      <c r="AP1" s="57"/>
      <c r="AQ1" s="57"/>
      <c r="AR1" s="57"/>
      <c r="AS1" s="57"/>
      <c r="AT1" s="57"/>
      <c r="AU1" s="57"/>
      <c r="AV1" s="57"/>
      <c r="AW1" s="57"/>
      <c r="AX1" s="57"/>
      <c r="AY1" s="57"/>
      <c r="AZ1" s="57"/>
      <c r="BA1" s="57"/>
      <c r="BB1" s="57"/>
      <c r="BC1" s="57"/>
      <c r="BD1" s="57"/>
      <c r="BE1" s="57"/>
      <c r="BF1" s="57"/>
      <c r="BG1" s="57"/>
      <c r="BH1" s="57"/>
      <c r="BI1" s="57"/>
      <c r="BJ1" s="57"/>
      <c r="BK1" s="57"/>
      <c r="BL1" s="57"/>
      <c r="BM1" s="57"/>
      <c r="BN1" s="57"/>
      <c r="BO1" s="57"/>
      <c r="BP1" s="57"/>
      <c r="BQ1" s="57"/>
      <c r="BR1" s="57"/>
      <c r="BS1" s="57"/>
      <c r="BT1" s="57"/>
      <c r="BU1" s="57"/>
      <c r="BV1" s="57"/>
      <c r="BW1" s="57"/>
      <c r="BX1" s="57"/>
      <c r="BY1" s="57"/>
      <c r="BZ1" s="57"/>
      <c r="CA1" s="57"/>
      <c r="CB1" s="57"/>
      <c r="CC1" s="57"/>
      <c r="CD1" s="57"/>
      <c r="CE1" s="57"/>
      <c r="CF1" s="57"/>
      <c r="CG1" s="57"/>
      <c r="CH1" s="57"/>
      <c r="CI1" s="57"/>
      <c r="CJ1" s="57"/>
      <c r="CK1" s="57"/>
      <c r="CL1" s="57"/>
      <c r="CM1" s="57"/>
      <c r="CN1" s="57"/>
      <c r="CO1" s="57"/>
      <c r="CP1" s="57"/>
      <c r="CQ1" s="57"/>
      <c r="CR1" s="57"/>
      <c r="CS1" s="57"/>
      <c r="CT1" s="57"/>
      <c r="CU1" s="57"/>
      <c r="CV1" s="57"/>
      <c r="CW1" s="57"/>
      <c r="CX1" s="57"/>
      <c r="CY1" s="57"/>
      <c r="CZ1" s="57"/>
      <c r="DA1" s="57"/>
      <c r="DB1" s="57"/>
      <c r="DC1" s="57"/>
      <c r="DD1" s="57"/>
      <c r="DE1" s="57"/>
      <c r="DF1" s="57"/>
      <c r="DG1" s="57"/>
      <c r="DH1" s="57"/>
      <c r="DI1" s="57"/>
      <c r="DJ1" s="57"/>
      <c r="DK1" s="57"/>
      <c r="DL1" s="57"/>
      <c r="DM1" s="57"/>
      <c r="DN1" s="57"/>
      <c r="DO1" s="57"/>
      <c r="DP1" s="57"/>
      <c r="DQ1" s="57"/>
      <c r="DR1" s="57"/>
      <c r="DS1" s="57"/>
      <c r="DT1" s="57"/>
      <c r="DU1" s="57"/>
      <c r="DV1" s="57"/>
      <c r="DW1" s="57"/>
      <c r="DX1" s="57"/>
      <c r="DY1" s="57"/>
      <c r="DZ1" s="57"/>
      <c r="EA1" s="57"/>
      <c r="EB1" s="57"/>
      <c r="EC1" s="57"/>
      <c r="ED1" s="57"/>
      <c r="EE1" s="57"/>
      <c r="EF1" s="57"/>
      <c r="EG1" s="57"/>
      <c r="EH1" s="57"/>
      <c r="EI1" s="57"/>
      <c r="EJ1" s="57"/>
      <c r="EK1" s="57"/>
      <c r="EL1" s="57"/>
      <c r="EM1" s="57"/>
      <c r="EN1" s="57"/>
      <c r="EO1" s="57"/>
      <c r="EP1" s="57"/>
      <c r="EQ1" s="57"/>
      <c r="ER1" s="57"/>
      <c r="ES1" s="57"/>
      <c r="ET1" s="57"/>
      <c r="EU1" s="57"/>
      <c r="EV1" s="57"/>
      <c r="EW1" s="57"/>
      <c r="EX1" s="57"/>
      <c r="EY1" s="57"/>
      <c r="EZ1" s="57"/>
      <c r="FA1" s="57"/>
      <c r="FB1" s="57"/>
      <c r="FC1" s="57"/>
      <c r="FD1" s="57"/>
      <c r="FE1" s="57"/>
      <c r="FF1" s="57"/>
      <c r="FG1" s="57"/>
      <c r="FH1" s="57"/>
      <c r="FI1" s="57"/>
      <c r="FJ1" s="57"/>
      <c r="FK1" s="57"/>
      <c r="FL1" s="57"/>
      <c r="FM1" s="57"/>
      <c r="FN1" s="57"/>
      <c r="FO1" s="57"/>
      <c r="FP1" s="57"/>
      <c r="FQ1" s="57"/>
      <c r="FR1" s="57"/>
      <c r="FS1" s="57"/>
      <c r="FT1" s="57"/>
      <c r="FU1" s="57"/>
      <c r="FV1" s="57"/>
      <c r="FW1" s="57"/>
      <c r="FX1" s="57"/>
      <c r="FY1" s="57"/>
      <c r="FZ1" s="57"/>
      <c r="GA1" s="57"/>
      <c r="GB1" s="57"/>
      <c r="GC1" s="57"/>
      <c r="GD1" s="57"/>
      <c r="GE1" s="57"/>
      <c r="GF1" s="57"/>
      <c r="GG1" s="57"/>
      <c r="GH1" s="57"/>
      <c r="GI1" s="57"/>
      <c r="GJ1" s="57"/>
      <c r="GK1" s="57"/>
      <c r="GL1" s="57"/>
      <c r="GM1" s="57"/>
      <c r="GN1" s="57"/>
      <c r="GO1" s="57"/>
      <c r="GP1" s="57"/>
      <c r="GQ1" s="57"/>
      <c r="GR1" s="57"/>
      <c r="GS1" s="57"/>
      <c r="GT1" s="57"/>
      <c r="GU1" s="57"/>
      <c r="GV1" s="57"/>
      <c r="GW1" s="57"/>
      <c r="GX1" s="57"/>
      <c r="GY1" s="57"/>
      <c r="GZ1" s="57"/>
      <c r="HA1" s="57"/>
      <c r="HB1" s="57"/>
      <c r="HC1" s="57"/>
      <c r="HD1" s="57"/>
      <c r="HE1" s="57"/>
      <c r="HF1" s="57"/>
      <c r="HG1" s="57"/>
      <c r="HH1" s="57"/>
      <c r="HI1" s="57"/>
      <c r="HJ1" s="57"/>
      <c r="HK1" s="57"/>
      <c r="HL1" s="57"/>
      <c r="HM1" s="57"/>
      <c r="HN1" s="57"/>
      <c r="HO1" s="57"/>
      <c r="HP1" s="57"/>
      <c r="HQ1" s="57"/>
      <c r="HR1" s="57"/>
      <c r="HS1" s="57"/>
      <c r="HT1" s="57"/>
      <c r="HU1" s="57"/>
      <c r="HV1" s="57"/>
      <c r="HW1" s="57"/>
      <c r="HX1" s="57"/>
      <c r="HY1" s="57"/>
      <c r="HZ1" s="57"/>
      <c r="IA1" s="57"/>
      <c r="IB1" s="57"/>
      <c r="IC1" s="57"/>
      <c r="ID1" s="57"/>
      <c r="IE1" s="57"/>
      <c r="IF1" s="57"/>
      <c r="IG1" s="57"/>
      <c r="IH1" s="57"/>
      <c r="II1" s="57"/>
      <c r="IJ1" s="57"/>
      <c r="IK1" s="57"/>
      <c r="IL1" s="57"/>
      <c r="IM1" s="57"/>
      <c r="IN1" s="57"/>
      <c r="IO1" s="57"/>
      <c r="IP1" s="57"/>
      <c r="IQ1" s="57"/>
      <c r="IR1" s="57"/>
      <c r="IS1" s="57"/>
      <c r="IT1" s="57"/>
      <c r="IU1" s="57"/>
      <c r="IV1" s="57"/>
      <c r="IW1" s="57"/>
      <c r="IX1" s="57"/>
      <c r="IY1" s="57"/>
      <c r="IZ1" s="57"/>
      <c r="JA1" s="57"/>
      <c r="JB1" s="57"/>
      <c r="JC1" s="57"/>
      <c r="JD1" s="57"/>
      <c r="JE1" s="57"/>
      <c r="JF1" s="57"/>
      <c r="JG1" s="57"/>
      <c r="JH1" s="57"/>
      <c r="JI1" s="57"/>
      <c r="JJ1" s="57"/>
      <c r="JK1" s="57"/>
      <c r="JL1" s="57"/>
      <c r="JM1" s="57"/>
      <c r="JN1" s="57"/>
      <c r="JO1" s="57"/>
      <c r="JP1" s="57"/>
      <c r="JQ1" s="57"/>
      <c r="JR1" s="57"/>
      <c r="JS1" s="57"/>
      <c r="JT1" s="57"/>
      <c r="JU1" s="57"/>
      <c r="JV1" s="57"/>
      <c r="JW1" s="57"/>
      <c r="JX1" s="57"/>
      <c r="JY1" s="57"/>
      <c r="JZ1" s="57"/>
      <c r="KA1" s="57"/>
      <c r="KB1" s="57"/>
      <c r="KC1" s="57"/>
      <c r="KD1" s="57"/>
      <c r="KE1" s="57"/>
      <c r="KF1" s="57"/>
      <c r="KG1" s="57"/>
      <c r="KH1" s="57"/>
      <c r="KI1" s="57"/>
      <c r="KJ1" s="57"/>
      <c r="KK1" s="57"/>
      <c r="KL1" s="57"/>
      <c r="KM1" s="57"/>
      <c r="KN1" s="57"/>
      <c r="KO1" s="57"/>
      <c r="KP1" s="57"/>
      <c r="KQ1" s="57"/>
      <c r="KR1" s="57"/>
      <c r="KS1" s="57"/>
      <c r="KT1" s="57"/>
      <c r="KU1" s="57"/>
      <c r="KV1" s="57"/>
      <c r="KW1" s="57"/>
      <c r="KX1" s="57"/>
      <c r="KY1" s="57"/>
      <c r="KZ1" s="57"/>
      <c r="LA1" s="57"/>
      <c r="LB1" s="57"/>
      <c r="LC1" s="57"/>
      <c r="LD1" s="57"/>
      <c r="LE1" s="57"/>
      <c r="LF1" s="57"/>
      <c r="LG1" s="57"/>
      <c r="LH1" s="57"/>
      <c r="LI1" s="57"/>
      <c r="LJ1" s="57"/>
      <c r="LK1" s="57"/>
      <c r="LL1" s="57"/>
      <c r="LM1" s="57"/>
      <c r="LN1" s="57"/>
      <c r="LO1" s="57"/>
      <c r="LP1" s="57"/>
      <c r="LQ1" s="57"/>
      <c r="LR1" s="57"/>
      <c r="LS1" s="57"/>
      <c r="LT1" s="57"/>
      <c r="LU1" s="57"/>
      <c r="LV1" s="57"/>
      <c r="LW1" s="57"/>
      <c r="LX1" s="57"/>
      <c r="LY1" s="57"/>
      <c r="LZ1" s="57"/>
      <c r="MA1" s="57"/>
      <c r="MB1" s="57"/>
      <c r="MC1" s="57"/>
      <c r="MD1" s="57"/>
      <c r="ME1" s="57"/>
      <c r="MF1" s="57"/>
      <c r="MG1" s="57"/>
      <c r="MH1" s="57"/>
      <c r="MI1" s="57"/>
      <c r="MJ1" s="57"/>
      <c r="MK1" s="57"/>
      <c r="ML1" s="57"/>
      <c r="MM1" s="57"/>
      <c r="MN1" s="57"/>
      <c r="MO1" s="57"/>
      <c r="MP1" s="57"/>
      <c r="MQ1" s="57"/>
      <c r="MR1" s="57"/>
      <c r="MS1" s="57"/>
      <c r="MT1" s="57"/>
      <c r="MU1" s="57"/>
      <c r="MV1" s="57"/>
      <c r="MW1" s="57"/>
      <c r="MX1" s="57"/>
      <c r="MY1" s="57"/>
      <c r="MZ1" s="57"/>
      <c r="NA1" s="57"/>
      <c r="NB1" s="57"/>
      <c r="NC1" s="57"/>
      <c r="ND1" s="57"/>
      <c r="NE1" s="57"/>
      <c r="NF1" s="57"/>
      <c r="NG1" s="57"/>
      <c r="NH1" s="57"/>
      <c r="NI1" s="57"/>
      <c r="NJ1" s="57"/>
      <c r="NK1" s="57"/>
      <c r="NL1" s="57"/>
      <c r="NM1" s="57"/>
      <c r="NN1" s="57"/>
      <c r="NO1" s="57"/>
      <c r="NP1" s="57"/>
      <c r="NQ1" s="57"/>
      <c r="NR1" s="57"/>
      <c r="NS1" s="57"/>
      <c r="NT1" s="57"/>
      <c r="NU1" s="57"/>
      <c r="NV1" s="57"/>
      <c r="NW1" s="57"/>
      <c r="NX1" s="57"/>
      <c r="NY1" s="57"/>
      <c r="NZ1" s="57"/>
      <c r="OA1" s="57"/>
      <c r="OB1" s="57"/>
      <c r="OC1" s="57"/>
      <c r="OD1" s="57"/>
      <c r="OE1" s="57"/>
      <c r="OF1" s="57"/>
      <c r="OG1" s="57"/>
      <c r="OH1" s="57"/>
      <c r="OI1" s="57"/>
      <c r="OJ1" s="57"/>
      <c r="OK1" s="57"/>
      <c r="OL1" s="57"/>
      <c r="OM1" s="57"/>
      <c r="ON1" s="57"/>
      <c r="OO1" s="57"/>
      <c r="OP1" s="57"/>
      <c r="OQ1" s="57"/>
      <c r="OR1" s="57"/>
      <c r="OS1" s="57"/>
      <c r="OT1" s="57"/>
      <c r="OU1" s="57"/>
      <c r="OV1" s="57"/>
      <c r="OW1" s="57"/>
      <c r="OX1" s="57"/>
      <c r="OY1" s="57"/>
      <c r="OZ1" s="57"/>
      <c r="PA1" s="57"/>
      <c r="PB1" s="57"/>
      <c r="PC1" s="57"/>
      <c r="PD1" s="57"/>
      <c r="PE1" s="57"/>
      <c r="PF1" s="57"/>
      <c r="PG1" s="57"/>
      <c r="PH1" s="57"/>
      <c r="PI1" s="57"/>
      <c r="PJ1" s="57"/>
      <c r="PK1" s="57"/>
      <c r="PL1" s="57"/>
      <c r="PM1" s="57"/>
      <c r="PN1" s="57"/>
      <c r="PO1" s="57"/>
      <c r="PP1" s="57"/>
      <c r="PQ1" s="57"/>
      <c r="PR1" s="57"/>
      <c r="PS1" s="57"/>
      <c r="PT1" s="57"/>
      <c r="PU1" s="57"/>
      <c r="PV1" s="57"/>
      <c r="PW1" s="57"/>
      <c r="PX1" s="57"/>
      <c r="PY1" s="57"/>
      <c r="PZ1" s="57"/>
      <c r="QA1" s="57"/>
      <c r="QB1" s="57"/>
      <c r="QC1" s="57"/>
      <c r="QD1" s="57"/>
      <c r="QE1" s="57"/>
      <c r="QF1" s="57"/>
      <c r="QG1" s="57"/>
      <c r="QH1" s="57"/>
      <c r="QI1" s="57"/>
      <c r="QJ1" s="57"/>
      <c r="QK1" s="57"/>
      <c r="QL1" s="57"/>
      <c r="QM1" s="57"/>
      <c r="QN1" s="57"/>
      <c r="QO1" s="57"/>
      <c r="QP1" s="57"/>
      <c r="QQ1" s="57"/>
      <c r="QR1" s="57"/>
      <c r="QS1" s="57"/>
      <c r="QT1" s="57"/>
      <c r="QU1" s="57"/>
      <c r="QV1" s="57"/>
      <c r="QW1" s="57"/>
      <c r="QX1" s="57"/>
      <c r="QY1" s="57"/>
      <c r="QZ1" s="57"/>
      <c r="RA1" s="57"/>
      <c r="RB1" s="57"/>
      <c r="RC1" s="57"/>
      <c r="RD1" s="57"/>
      <c r="RE1" s="57"/>
      <c r="RF1" s="57"/>
      <c r="RG1" s="57"/>
      <c r="RH1" s="57"/>
      <c r="RI1" s="57"/>
      <c r="RJ1" s="57"/>
      <c r="RK1" s="57"/>
      <c r="RL1" s="57"/>
      <c r="RM1" s="57"/>
      <c r="RN1" s="57"/>
      <c r="RO1" s="57"/>
      <c r="RP1" s="57"/>
      <c r="RQ1" s="57"/>
      <c r="RR1" s="57"/>
      <c r="RS1" s="57"/>
      <c r="RT1" s="57"/>
      <c r="RU1" s="57"/>
      <c r="RV1" s="57"/>
      <c r="RW1" s="57"/>
      <c r="RX1" s="57"/>
      <c r="RY1" s="57"/>
      <c r="RZ1" s="57"/>
      <c r="SA1" s="57"/>
      <c r="SB1" s="57"/>
      <c r="SC1" s="57"/>
      <c r="SD1" s="57"/>
      <c r="SE1" s="57"/>
      <c r="SF1" s="57"/>
      <c r="SG1" s="57"/>
      <c r="SH1" s="57"/>
      <c r="SI1" s="57"/>
      <c r="SJ1" s="57"/>
      <c r="SK1" s="57"/>
      <c r="SL1" s="57"/>
      <c r="SM1" s="57"/>
      <c r="SN1" s="57"/>
      <c r="SO1" s="57"/>
      <c r="SP1" s="57"/>
      <c r="SQ1" s="57"/>
      <c r="SR1" s="57"/>
      <c r="SS1" s="57"/>
      <c r="ST1" s="57"/>
      <c r="SU1" s="57"/>
      <c r="SV1" s="57"/>
      <c r="SW1" s="57"/>
      <c r="SX1" s="57"/>
      <c r="SY1" s="57"/>
      <c r="SZ1" s="57"/>
      <c r="TA1" s="57"/>
      <c r="TB1" s="57"/>
      <c r="TC1" s="57"/>
      <c r="TD1" s="57"/>
      <c r="TE1" s="57"/>
      <c r="TF1" s="57"/>
      <c r="TG1" s="57"/>
      <c r="TH1" s="57"/>
      <c r="TI1" s="57"/>
      <c r="TJ1" s="57"/>
      <c r="TK1" s="57"/>
      <c r="TL1" s="57"/>
      <c r="TM1" s="57"/>
      <c r="TN1" s="57"/>
      <c r="TO1" s="57"/>
      <c r="TP1" s="57"/>
      <c r="TQ1" s="57"/>
      <c r="TR1" s="57"/>
      <c r="TS1" s="57"/>
      <c r="TT1" s="57"/>
      <c r="TU1" s="57"/>
      <c r="TV1" s="57"/>
      <c r="TW1" s="57"/>
      <c r="TX1" s="57"/>
      <c r="TY1" s="57"/>
      <c r="TZ1" s="57"/>
      <c r="UA1" s="57"/>
      <c r="UB1" s="57"/>
      <c r="UC1" s="57"/>
      <c r="UD1" s="57"/>
      <c r="UE1" s="57"/>
      <c r="UF1" s="57"/>
      <c r="UG1" s="57"/>
      <c r="UH1" s="57"/>
      <c r="UI1" s="57"/>
      <c r="UJ1" s="57"/>
      <c r="UK1" s="57"/>
      <c r="UL1" s="57"/>
      <c r="UM1" s="57"/>
      <c r="UN1" s="57"/>
      <c r="UO1" s="57"/>
      <c r="UP1" s="57"/>
      <c r="UQ1" s="57"/>
      <c r="UR1" s="57"/>
      <c r="US1" s="57"/>
      <c r="UT1" s="57"/>
      <c r="UU1" s="57"/>
      <c r="UV1" s="57"/>
      <c r="UW1" s="57"/>
      <c r="UX1" s="57"/>
      <c r="UY1" s="57"/>
      <c r="UZ1" s="57"/>
      <c r="VA1" s="57"/>
      <c r="VB1" s="57"/>
      <c r="VC1" s="57"/>
      <c r="VD1" s="57"/>
      <c r="VE1" s="57"/>
      <c r="VF1" s="57"/>
      <c r="VG1" s="57"/>
      <c r="VH1" s="57"/>
      <c r="VI1" s="57"/>
      <c r="VJ1" s="57"/>
      <c r="VK1" s="57"/>
      <c r="VL1" s="57"/>
      <c r="VM1" s="57"/>
      <c r="VN1" s="57"/>
      <c r="VO1" s="57"/>
      <c r="VP1" s="57"/>
      <c r="VQ1" s="57"/>
      <c r="VR1" s="57"/>
      <c r="VS1" s="57"/>
      <c r="VT1" s="57"/>
      <c r="VU1" s="57"/>
      <c r="VV1" s="57"/>
      <c r="VW1" s="57"/>
      <c r="VX1" s="57"/>
      <c r="VY1" s="57"/>
      <c r="VZ1" s="57"/>
      <c r="WA1" s="57"/>
      <c r="WB1" s="57"/>
      <c r="WC1" s="57"/>
      <c r="WD1" s="57"/>
      <c r="WE1" s="57"/>
      <c r="WF1" s="57"/>
      <c r="WG1" s="57"/>
      <c r="WH1" s="57"/>
      <c r="WI1" s="57"/>
      <c r="WJ1" s="57"/>
      <c r="WK1" s="57"/>
      <c r="WL1" s="57"/>
      <c r="WM1" s="57"/>
      <c r="WN1" s="57"/>
      <c r="WO1" s="57"/>
      <c r="WP1" s="57"/>
      <c r="WQ1" s="57"/>
      <c r="WR1" s="57"/>
      <c r="WS1" s="57"/>
      <c r="WT1" s="57"/>
      <c r="WU1" s="57"/>
      <c r="WV1" s="57"/>
      <c r="WW1" s="57"/>
      <c r="WX1" s="57"/>
      <c r="WY1" s="57"/>
      <c r="WZ1" s="57"/>
      <c r="XA1" s="57"/>
      <c r="XB1" s="57"/>
      <c r="XC1" s="57"/>
      <c r="XD1" s="57"/>
      <c r="XE1" s="57"/>
      <c r="XF1" s="57"/>
      <c r="XG1" s="57"/>
      <c r="XH1" s="57"/>
      <c r="XI1" s="57"/>
      <c r="XJ1" s="57"/>
      <c r="XK1" s="57"/>
      <c r="XL1" s="57"/>
      <c r="XM1" s="57"/>
      <c r="XN1" s="57"/>
      <c r="XO1" s="57"/>
      <c r="XP1" s="57"/>
      <c r="XQ1" s="57"/>
      <c r="XR1" s="57"/>
      <c r="XS1" s="57"/>
      <c r="XT1" s="57"/>
      <c r="XU1" s="57"/>
      <c r="XV1" s="57"/>
      <c r="XW1" s="57"/>
      <c r="XX1" s="57"/>
      <c r="XY1" s="57"/>
      <c r="XZ1" s="57"/>
      <c r="YA1" s="57"/>
      <c r="YB1" s="57"/>
      <c r="YC1" s="57"/>
      <c r="YD1" s="57"/>
      <c r="YE1" s="57"/>
      <c r="YF1" s="57"/>
      <c r="YG1" s="57"/>
      <c r="YH1" s="57"/>
      <c r="YI1" s="57"/>
      <c r="YJ1" s="57"/>
      <c r="YK1" s="57"/>
      <c r="YL1" s="57"/>
      <c r="YM1" s="57"/>
      <c r="YN1" s="57"/>
      <c r="YO1" s="57"/>
      <c r="YP1" s="57"/>
      <c r="YQ1" s="57"/>
      <c r="YR1" s="57"/>
      <c r="YS1" s="57"/>
      <c r="YT1" s="57"/>
      <c r="YU1" s="57"/>
      <c r="YV1" s="57"/>
      <c r="YW1" s="57"/>
      <c r="YX1" s="57"/>
      <c r="YY1" s="57"/>
      <c r="YZ1" s="57"/>
      <c r="ZA1" s="57"/>
      <c r="ZB1" s="57"/>
      <c r="ZC1" s="57"/>
      <c r="ZD1" s="57"/>
      <c r="ZE1" s="57"/>
      <c r="ZF1" s="57"/>
      <c r="ZG1" s="57"/>
      <c r="ZH1" s="57"/>
      <c r="ZI1" s="57"/>
      <c r="ZJ1" s="57"/>
      <c r="ZK1" s="57"/>
      <c r="ZL1" s="57"/>
      <c r="ZM1" s="57"/>
      <c r="ZN1" s="57"/>
      <c r="ZO1" s="57"/>
      <c r="ZP1" s="57"/>
      <c r="ZQ1" s="57"/>
      <c r="ZR1" s="57"/>
      <c r="ZS1" s="57"/>
      <c r="ZT1" s="57"/>
      <c r="ZU1" s="57"/>
      <c r="ZV1" s="57"/>
      <c r="ZW1" s="57"/>
      <c r="ZX1" s="57"/>
      <c r="ZY1" s="57"/>
      <c r="ZZ1" s="57"/>
      <c r="AAA1" s="57"/>
      <c r="AAB1" s="57"/>
      <c r="AAC1" s="57"/>
      <c r="AAD1" s="57"/>
      <c r="AAE1" s="57"/>
      <c r="AAF1" s="57"/>
      <c r="AAG1" s="57"/>
      <c r="AAH1" s="57"/>
      <c r="AAI1" s="57"/>
      <c r="AAJ1" s="57"/>
      <c r="AAK1" s="57"/>
      <c r="AAL1" s="57"/>
      <c r="AAM1" s="57"/>
      <c r="AAN1" s="57"/>
      <c r="AAO1" s="57"/>
      <c r="AAP1" s="57"/>
      <c r="AAQ1" s="57"/>
      <c r="AAR1" s="57"/>
      <c r="AAS1" s="57"/>
      <c r="AAT1" s="57"/>
      <c r="AAU1" s="57"/>
      <c r="AAV1" s="57"/>
      <c r="AAW1" s="57"/>
      <c r="AAX1" s="57"/>
      <c r="AAY1" s="57"/>
      <c r="AAZ1" s="57"/>
      <c r="ABA1" s="57"/>
      <c r="ABB1" s="57"/>
      <c r="ABC1" s="57"/>
      <c r="ABD1" s="57"/>
      <c r="ABE1" s="57"/>
      <c r="ABF1" s="57"/>
      <c r="ABG1" s="57"/>
      <c r="ABH1" s="57"/>
      <c r="ABI1" s="57"/>
      <c r="ABJ1" s="57"/>
      <c r="ABK1" s="57"/>
      <c r="ABL1" s="57"/>
      <c r="ABM1" s="57"/>
      <c r="ABN1" s="57"/>
      <c r="ABO1" s="57"/>
      <c r="ABP1" s="57"/>
      <c r="ABQ1" s="57"/>
      <c r="ABR1" s="57"/>
      <c r="ABS1" s="57"/>
      <c r="ABT1" s="57"/>
      <c r="ABU1" s="57"/>
      <c r="ABV1" s="57"/>
      <c r="ABW1" s="57"/>
      <c r="ABX1" s="57"/>
      <c r="ABY1" s="57"/>
      <c r="ABZ1" s="57"/>
      <c r="ACA1" s="57"/>
      <c r="ACB1" s="57"/>
      <c r="ACC1" s="57"/>
      <c r="ACD1" s="57"/>
      <c r="ACE1" s="57"/>
      <c r="ACF1" s="57"/>
      <c r="ACG1" s="57"/>
      <c r="ACH1" s="57"/>
      <c r="ACI1" s="57"/>
      <c r="ACJ1" s="57"/>
      <c r="ACK1" s="57"/>
      <c r="ACL1" s="57"/>
      <c r="ACM1" s="57"/>
      <c r="ACN1" s="57"/>
      <c r="ACO1" s="57"/>
      <c r="ACP1" s="57"/>
      <c r="ACQ1" s="57"/>
      <c r="ACR1" s="57"/>
      <c r="ACS1" s="57"/>
      <c r="ACT1" s="57"/>
      <c r="ACU1" s="57"/>
      <c r="ACV1" s="57"/>
      <c r="ACW1" s="57"/>
      <c r="ACX1" s="57"/>
      <c r="ACY1" s="57"/>
      <c r="ACZ1" s="57"/>
      <c r="ADA1" s="57"/>
      <c r="ADB1" s="57"/>
      <c r="ADC1" s="57"/>
      <c r="ADD1" s="57"/>
      <c r="ADE1" s="57"/>
      <c r="ADF1" s="57"/>
      <c r="ADG1" s="57"/>
      <c r="ADH1" s="57"/>
      <c r="ADI1" s="57"/>
      <c r="ADJ1" s="57"/>
      <c r="ADK1" s="57"/>
      <c r="ADL1" s="57"/>
      <c r="ADM1" s="57"/>
      <c r="ADN1" s="57"/>
      <c r="ADO1" s="57"/>
      <c r="ADP1" s="57"/>
      <c r="ADQ1" s="57"/>
      <c r="ADR1" s="57"/>
      <c r="ADS1" s="57"/>
      <c r="ADT1" s="57"/>
      <c r="ADU1" s="57"/>
      <c r="ADV1" s="57"/>
      <c r="ADW1" s="57"/>
      <c r="ADX1" s="57"/>
      <c r="ADY1" s="57"/>
      <c r="ADZ1" s="57"/>
      <c r="AEA1" s="57"/>
      <c r="AEB1" s="57"/>
      <c r="AEC1" s="57"/>
      <c r="AED1" s="57"/>
      <c r="AEE1" s="57"/>
      <c r="AEF1" s="57"/>
      <c r="AEG1" s="57"/>
      <c r="AEH1" s="57"/>
      <c r="AEI1" s="57"/>
      <c r="AEJ1" s="57"/>
      <c r="AEK1" s="57"/>
      <c r="AEL1" s="57"/>
      <c r="AEM1" s="57"/>
      <c r="AEN1" s="57"/>
      <c r="AEO1" s="57"/>
      <c r="AEP1" s="57"/>
      <c r="AEQ1" s="57"/>
      <c r="AER1" s="57"/>
      <c r="AES1" s="57"/>
      <c r="AET1" s="57"/>
      <c r="AEU1" s="57"/>
      <c r="AEV1" s="57"/>
      <c r="AEW1" s="57"/>
      <c r="AEX1" s="57"/>
      <c r="AEY1" s="57"/>
      <c r="AEZ1" s="57"/>
      <c r="AFA1" s="57"/>
      <c r="AFB1" s="57"/>
      <c r="AFC1" s="57"/>
      <c r="AFD1" s="57"/>
      <c r="AFE1" s="57"/>
      <c r="AFF1" s="57"/>
      <c r="AFG1" s="57"/>
      <c r="AFH1" s="57"/>
      <c r="AFI1" s="57"/>
      <c r="AFJ1" s="57"/>
      <c r="AFK1" s="57"/>
      <c r="AFL1" s="57"/>
      <c r="AFM1" s="57"/>
      <c r="AFN1" s="57"/>
      <c r="AFO1" s="57"/>
      <c r="AFP1" s="57"/>
      <c r="AFQ1" s="57"/>
      <c r="AFR1" s="57"/>
      <c r="AFS1" s="57"/>
      <c r="AFT1" s="57"/>
      <c r="AFU1" s="57"/>
      <c r="AFV1" s="57"/>
      <c r="AFW1" s="57"/>
      <c r="AFX1" s="57"/>
      <c r="AFY1" s="57"/>
      <c r="AFZ1" s="57"/>
      <c r="AGA1" s="57"/>
      <c r="AGB1" s="57"/>
      <c r="AGC1" s="57"/>
      <c r="AGD1" s="57"/>
      <c r="AGE1" s="57"/>
      <c r="AGF1" s="57"/>
      <c r="AGG1" s="57"/>
      <c r="AGH1" s="57"/>
      <c r="AGI1" s="57"/>
      <c r="AGJ1" s="57"/>
      <c r="AGK1" s="57"/>
      <c r="AGL1" s="57"/>
      <c r="AGM1" s="57"/>
      <c r="AGN1" s="57"/>
      <c r="AGO1" s="57"/>
      <c r="AGP1" s="57"/>
      <c r="AGQ1" s="57"/>
      <c r="AGR1" s="57"/>
      <c r="AGS1" s="57"/>
      <c r="AGT1" s="57"/>
      <c r="AGU1" s="57"/>
      <c r="AGV1" s="57"/>
      <c r="AGW1" s="57"/>
      <c r="AGX1" s="57"/>
      <c r="AGY1" s="57"/>
      <c r="AGZ1" s="57"/>
      <c r="AHA1" s="57"/>
      <c r="AHB1" s="57"/>
      <c r="AHC1" s="57"/>
      <c r="AHD1" s="57"/>
      <c r="AHE1" s="57"/>
      <c r="AHF1" s="57"/>
      <c r="AHG1" s="57"/>
      <c r="AHH1" s="57"/>
      <c r="AHI1" s="57"/>
      <c r="AHJ1" s="57"/>
      <c r="AHK1" s="57"/>
      <c r="AHL1" s="57"/>
      <c r="AHM1" s="57"/>
      <c r="AHN1" s="57"/>
      <c r="AHO1" s="57"/>
      <c r="AHP1" s="57"/>
      <c r="AHQ1" s="57"/>
      <c r="AHR1" s="57"/>
      <c r="AHS1" s="57"/>
      <c r="AHT1" s="57"/>
      <c r="AHU1" s="57"/>
      <c r="AHV1" s="57"/>
      <c r="AHW1" s="57"/>
      <c r="AHX1" s="57"/>
      <c r="AHY1" s="57"/>
      <c r="AHZ1" s="57"/>
      <c r="AIA1" s="57"/>
      <c r="AIB1" s="57"/>
      <c r="AIC1" s="57"/>
      <c r="AID1" s="57"/>
      <c r="AIE1" s="57"/>
      <c r="AIF1" s="57"/>
      <c r="AIG1" s="57"/>
      <c r="AIH1" s="57"/>
      <c r="AII1" s="57"/>
      <c r="AIJ1" s="57"/>
      <c r="AIK1" s="57"/>
      <c r="AIL1" s="57"/>
      <c r="AIM1" s="57"/>
      <c r="AIN1" s="57"/>
      <c r="AIO1" s="57"/>
      <c r="AIP1" s="57"/>
      <c r="AIQ1" s="57"/>
      <c r="AIR1" s="57"/>
      <c r="AIS1" s="57"/>
      <c r="AIT1" s="57"/>
      <c r="AIU1" s="57"/>
      <c r="AIV1" s="57"/>
      <c r="AIW1" s="57"/>
      <c r="AIX1" s="57"/>
      <c r="AIY1" s="57"/>
      <c r="AIZ1" s="57"/>
      <c r="AJA1" s="57"/>
      <c r="AJB1" s="57"/>
      <c r="AJC1" s="57"/>
      <c r="AJD1" s="57"/>
      <c r="AJE1" s="57"/>
      <c r="AJF1" s="57"/>
      <c r="AJG1" s="57"/>
      <c r="AJH1" s="57"/>
      <c r="AJI1" s="57"/>
      <c r="AJJ1" s="57"/>
      <c r="AJK1" s="57"/>
      <c r="AJL1" s="57"/>
      <c r="AJM1" s="57"/>
      <c r="AJN1" s="57"/>
      <c r="AJO1" s="57"/>
      <c r="AJP1" s="57"/>
      <c r="AJQ1" s="57"/>
      <c r="AJR1" s="57"/>
      <c r="AJS1" s="57"/>
      <c r="AJT1" s="57"/>
      <c r="AJU1" s="57"/>
      <c r="AJV1" s="57"/>
      <c r="AJW1" s="57"/>
      <c r="AJX1" s="57"/>
      <c r="AJY1" s="57"/>
      <c r="AJZ1" s="57"/>
      <c r="AKA1" s="57"/>
      <c r="AKB1" s="57"/>
      <c r="AKC1" s="57"/>
      <c r="AKD1" s="57"/>
      <c r="AKE1" s="57"/>
      <c r="AKF1" s="57"/>
      <c r="AKG1" s="57"/>
      <c r="AKH1" s="57"/>
      <c r="AKI1" s="57"/>
      <c r="AKJ1" s="57"/>
      <c r="AKK1" s="57"/>
      <c r="AKL1" s="57"/>
      <c r="AKM1" s="57"/>
      <c r="AKN1" s="57"/>
      <c r="AKO1" s="57"/>
      <c r="AKP1" s="57"/>
      <c r="AKQ1" s="57"/>
      <c r="AKR1" s="57"/>
      <c r="AKS1" s="57"/>
      <c r="AKT1" s="57"/>
      <c r="AKU1" s="57"/>
      <c r="AKV1" s="57"/>
      <c r="AKW1" s="57"/>
      <c r="AKX1" s="57"/>
      <c r="AKY1" s="57"/>
      <c r="AKZ1" s="57"/>
      <c r="ALA1" s="57"/>
      <c r="ALB1" s="57"/>
      <c r="ALC1" s="57"/>
      <c r="ALD1" s="57"/>
      <c r="ALE1" s="57"/>
      <c r="ALF1" s="57"/>
      <c r="ALG1" s="57"/>
      <c r="ALH1" s="57"/>
      <c r="ALI1" s="57"/>
      <c r="ALJ1" s="57"/>
      <c r="ALK1" s="57"/>
      <c r="ALL1" s="57"/>
      <c r="ALM1" s="57"/>
      <c r="ALN1" s="57"/>
      <c r="ALO1" s="57"/>
      <c r="ALP1" s="57"/>
      <c r="ALQ1" s="57"/>
      <c r="ALR1" s="57"/>
      <c r="ALS1" s="57"/>
      <c r="ALT1" s="57"/>
      <c r="ALU1" s="57"/>
      <c r="ALV1" s="57"/>
      <c r="ALW1" s="57"/>
      <c r="ALX1" s="57"/>
      <c r="ALY1" s="57"/>
      <c r="ALZ1" s="57"/>
      <c r="AMA1" s="57"/>
      <c r="AMB1" s="57"/>
      <c r="AMC1" s="57"/>
      <c r="AMD1" s="57"/>
      <c r="AME1" s="57"/>
      <c r="AMF1" s="57"/>
      <c r="AMG1" s="57"/>
      <c r="AMH1" s="57"/>
      <c r="AMI1" s="57"/>
    </row>
    <row r="2" spans="1:1023" x14ac:dyDescent="0.35">
      <c r="A2" s="56" t="s">
        <v>182</v>
      </c>
      <c r="B2" s="56"/>
      <c r="C2" s="51"/>
      <c r="D2" s="55"/>
      <c r="E2" s="42"/>
      <c r="F2" s="126"/>
      <c r="G2" s="54"/>
      <c r="H2" s="54"/>
      <c r="I2" s="54"/>
      <c r="J2" s="54"/>
      <c r="K2" s="126"/>
      <c r="L2" s="54"/>
      <c r="M2" s="53"/>
      <c r="N2" s="46"/>
      <c r="O2" s="46"/>
      <c r="P2" s="45"/>
    </row>
    <row r="3" spans="1:1023" x14ac:dyDescent="0.35">
      <c r="A3" s="47" t="s">
        <v>181</v>
      </c>
      <c r="B3" s="47"/>
      <c r="C3" s="47"/>
      <c r="D3" s="44"/>
      <c r="E3" s="51"/>
      <c r="F3" s="50"/>
      <c r="G3" s="50"/>
      <c r="H3" s="131" t="s">
        <v>180</v>
      </c>
      <c r="I3" s="46"/>
      <c r="J3" s="46"/>
      <c r="K3" s="50"/>
      <c r="L3" s="126"/>
      <c r="M3" s="52"/>
      <c r="N3" s="46"/>
      <c r="O3" s="46"/>
      <c r="P3" s="45"/>
    </row>
    <row r="4" spans="1:1023" ht="15" customHeight="1" x14ac:dyDescent="0.35">
      <c r="A4" s="175" t="s">
        <v>179</v>
      </c>
      <c r="B4" s="176"/>
      <c r="C4" s="176"/>
      <c r="D4" s="176"/>
      <c r="E4" s="176"/>
      <c r="F4" s="176"/>
      <c r="G4" s="176"/>
      <c r="H4" s="132" t="s">
        <v>178</v>
      </c>
      <c r="I4" s="46"/>
      <c r="J4" s="46"/>
      <c r="K4" s="50"/>
      <c r="L4" s="127"/>
      <c r="M4" s="49"/>
      <c r="N4" s="46"/>
      <c r="O4" s="46"/>
      <c r="P4" s="45"/>
    </row>
    <row r="5" spans="1:1023" ht="15" customHeight="1" x14ac:dyDescent="0.35">
      <c r="A5" s="176"/>
      <c r="B5" s="176"/>
      <c r="C5" s="176"/>
      <c r="D5" s="176"/>
      <c r="E5" s="176"/>
      <c r="F5" s="176"/>
      <c r="G5" s="176"/>
      <c r="H5" s="132" t="s">
        <v>177</v>
      </c>
      <c r="I5" s="46"/>
      <c r="J5" s="46"/>
      <c r="K5" s="50"/>
      <c r="L5" s="127"/>
      <c r="M5" s="49"/>
      <c r="N5" s="46"/>
      <c r="O5" s="46"/>
      <c r="P5" s="45"/>
    </row>
    <row r="6" spans="1:1023" ht="15" customHeight="1" x14ac:dyDescent="0.35">
      <c r="A6" s="176"/>
      <c r="B6" s="176"/>
      <c r="C6" s="176"/>
      <c r="D6" s="176"/>
      <c r="E6" s="176"/>
      <c r="F6" s="176"/>
      <c r="G6" s="176"/>
      <c r="H6" s="132" t="s">
        <v>176</v>
      </c>
      <c r="I6" s="46"/>
      <c r="J6" s="46"/>
      <c r="K6" s="50"/>
      <c r="L6" s="127"/>
      <c r="M6" s="49"/>
      <c r="N6" s="46"/>
      <c r="O6" s="46"/>
      <c r="P6" s="45"/>
    </row>
    <row r="7" spans="1:1023" ht="15" customHeight="1" x14ac:dyDescent="0.35">
      <c r="A7" s="176"/>
      <c r="B7" s="176"/>
      <c r="C7" s="176"/>
      <c r="D7" s="176"/>
      <c r="E7" s="176"/>
      <c r="F7" s="176"/>
      <c r="G7" s="176"/>
      <c r="H7" s="132"/>
      <c r="I7" s="48"/>
      <c r="J7" s="46"/>
      <c r="K7" s="50"/>
      <c r="L7" s="127"/>
      <c r="M7" s="49"/>
      <c r="N7" s="48"/>
      <c r="O7" s="46"/>
      <c r="P7" s="45"/>
    </row>
    <row r="8" spans="1:1023" x14ac:dyDescent="0.35">
      <c r="A8" s="162" t="s">
        <v>175</v>
      </c>
      <c r="B8" s="162"/>
      <c r="C8" s="162"/>
      <c r="D8" s="162"/>
      <c r="E8" s="162"/>
      <c r="F8" s="162"/>
      <c r="G8" s="162"/>
      <c r="H8" s="162"/>
      <c r="I8" s="162"/>
      <c r="J8" s="162"/>
      <c r="K8" s="162"/>
      <c r="L8" s="42"/>
      <c r="M8" s="44"/>
      <c r="N8" s="44"/>
      <c r="O8" s="44"/>
      <c r="P8" s="44"/>
    </row>
    <row r="9" spans="1:1023" ht="15" customHeight="1" x14ac:dyDescent="0.35">
      <c r="A9" s="162" t="s">
        <v>174</v>
      </c>
      <c r="B9" s="162"/>
      <c r="C9" s="162"/>
      <c r="D9" s="162"/>
      <c r="E9" s="162"/>
      <c r="F9" s="162"/>
      <c r="G9" s="162"/>
      <c r="H9" s="162"/>
      <c r="I9" s="162"/>
      <c r="J9" s="162"/>
      <c r="K9" s="162"/>
      <c r="L9" s="42"/>
      <c r="M9" s="44"/>
      <c r="N9" s="44"/>
      <c r="O9" s="44"/>
      <c r="P9" s="44"/>
    </row>
    <row r="10" spans="1:1023" x14ac:dyDescent="0.35">
      <c r="A10" s="43"/>
      <c r="B10" s="43"/>
      <c r="C10" s="42"/>
      <c r="D10" s="42"/>
      <c r="E10" s="42"/>
      <c r="F10" s="126"/>
      <c r="G10" s="54"/>
      <c r="H10" s="54"/>
      <c r="I10" s="54"/>
      <c r="J10" s="54"/>
      <c r="K10" s="126"/>
      <c r="L10" s="42"/>
      <c r="M10" s="42"/>
      <c r="N10" s="42"/>
      <c r="O10" s="42"/>
      <c r="P10" s="42"/>
    </row>
    <row r="11" spans="1:1023" x14ac:dyDescent="0.35">
      <c r="A11" s="43" t="s">
        <v>173</v>
      </c>
      <c r="B11" s="43"/>
      <c r="C11" s="42"/>
      <c r="D11" s="42"/>
      <c r="E11" s="42"/>
      <c r="F11" s="126"/>
      <c r="G11" s="54"/>
      <c r="H11" s="54"/>
      <c r="I11" s="54"/>
      <c r="J11" s="54"/>
      <c r="K11" s="126"/>
      <c r="L11" s="42" t="s">
        <v>226</v>
      </c>
      <c r="M11" s="42"/>
      <c r="N11" s="42"/>
      <c r="O11" s="42"/>
      <c r="P11" s="42"/>
    </row>
    <row r="12" spans="1:1023" ht="136.15" customHeight="1" x14ac:dyDescent="0.35">
      <c r="A12" s="41" t="s">
        <v>162</v>
      </c>
      <c r="B12" s="40"/>
      <c r="C12" s="39" t="s">
        <v>172</v>
      </c>
      <c r="D12" s="39" t="s">
        <v>4</v>
      </c>
      <c r="E12" s="38" t="s">
        <v>171</v>
      </c>
      <c r="F12" s="38" t="s">
        <v>170</v>
      </c>
      <c r="G12" s="38" t="s">
        <v>169</v>
      </c>
      <c r="H12" s="38" t="s">
        <v>168</v>
      </c>
      <c r="I12" s="38" t="s">
        <v>167</v>
      </c>
      <c r="J12" s="38" t="s">
        <v>166</v>
      </c>
      <c r="K12" s="38" t="s">
        <v>165</v>
      </c>
    </row>
    <row r="13" spans="1:1023" ht="15.75" customHeight="1" x14ac:dyDescent="0.35">
      <c r="A13" s="167" t="s">
        <v>164</v>
      </c>
      <c r="B13" s="168"/>
      <c r="C13" s="168"/>
      <c r="D13" s="168"/>
      <c r="E13" s="169"/>
      <c r="F13" s="170" t="s">
        <v>163</v>
      </c>
      <c r="G13" s="171"/>
      <c r="H13" s="171"/>
      <c r="I13" s="172"/>
      <c r="J13" s="172"/>
      <c r="K13" s="173"/>
    </row>
    <row r="14" spans="1:1023" ht="15.75" customHeight="1" x14ac:dyDescent="0.35">
      <c r="A14" s="37">
        <v>0</v>
      </c>
      <c r="B14" s="36"/>
      <c r="C14" s="36">
        <v>1</v>
      </c>
      <c r="D14" s="36">
        <v>2</v>
      </c>
      <c r="E14" s="35">
        <v>3</v>
      </c>
      <c r="F14" s="133">
        <v>4</v>
      </c>
      <c r="G14" s="134">
        <v>5</v>
      </c>
      <c r="H14" s="134">
        <v>6</v>
      </c>
      <c r="I14" s="134">
        <v>7</v>
      </c>
      <c r="J14" s="134">
        <v>8</v>
      </c>
      <c r="K14" s="133">
        <v>9</v>
      </c>
    </row>
    <row r="15" spans="1:1023" ht="31.9" customHeight="1" x14ac:dyDescent="0.35">
      <c r="A15" s="34" t="s">
        <v>162</v>
      </c>
      <c r="B15" s="164" t="s">
        <v>161</v>
      </c>
      <c r="C15" s="174"/>
      <c r="D15" s="33"/>
      <c r="E15" s="32"/>
      <c r="M15" s="110"/>
      <c r="N15" s="110"/>
      <c r="O15" s="111"/>
      <c r="P15" s="111"/>
      <c r="Q15" s="112"/>
      <c r="R15" s="112"/>
    </row>
    <row r="16" spans="1:1023" ht="15.5" x14ac:dyDescent="0.35">
      <c r="A16" s="10"/>
      <c r="B16" s="10"/>
      <c r="C16" s="10" t="s">
        <v>5</v>
      </c>
      <c r="D16" s="10" t="s">
        <v>4</v>
      </c>
      <c r="E16" s="9" t="s">
        <v>3</v>
      </c>
      <c r="F16" s="136" t="s">
        <v>2</v>
      </c>
      <c r="G16" s="136"/>
      <c r="H16" s="136"/>
      <c r="I16" s="136"/>
      <c r="J16" s="136"/>
      <c r="K16" s="136" t="s">
        <v>1</v>
      </c>
      <c r="M16" s="113"/>
      <c r="N16" s="113"/>
      <c r="O16" s="114"/>
      <c r="P16" s="114"/>
      <c r="Q16" s="115"/>
      <c r="R16" s="115"/>
    </row>
    <row r="17" spans="1:18" ht="101.5" x14ac:dyDescent="0.35">
      <c r="A17" s="31">
        <v>1</v>
      </c>
      <c r="B17" s="14"/>
      <c r="C17" s="124" t="s">
        <v>160</v>
      </c>
      <c r="D17" s="30" t="s">
        <v>0</v>
      </c>
      <c r="E17" s="29">
        <v>1</v>
      </c>
      <c r="F17" s="130">
        <f>G17+H17+I17+J17</f>
        <v>0</v>
      </c>
      <c r="G17" s="11">
        <f>O17</f>
        <v>0</v>
      </c>
      <c r="H17" s="11">
        <f>Q17</f>
        <v>0</v>
      </c>
      <c r="I17" s="11">
        <v>0</v>
      </c>
      <c r="J17" s="11">
        <v>0</v>
      </c>
      <c r="K17" s="137">
        <f>F17*E17</f>
        <v>0</v>
      </c>
      <c r="L17" s="128" t="s">
        <v>217</v>
      </c>
      <c r="M17" s="110"/>
      <c r="N17" s="110"/>
      <c r="O17" s="111"/>
      <c r="P17" s="111"/>
      <c r="Q17" s="112"/>
      <c r="R17" s="112"/>
    </row>
    <row r="18" spans="1:18" ht="28.5" x14ac:dyDescent="0.35">
      <c r="A18" s="31">
        <v>2</v>
      </c>
      <c r="B18" s="8"/>
      <c r="C18" s="7" t="s">
        <v>159</v>
      </c>
      <c r="D18" s="8" t="s">
        <v>0</v>
      </c>
      <c r="E18" s="29">
        <v>1</v>
      </c>
      <c r="F18" s="130">
        <f t="shared" ref="F18:F35" si="0">G18+H18+I18+J18</f>
        <v>0</v>
      </c>
      <c r="G18" s="11">
        <f t="shared" ref="G18:G35" si="1">O18</f>
        <v>0</v>
      </c>
      <c r="H18" s="11">
        <f t="shared" ref="H18:H35" si="2">Q18</f>
        <v>0</v>
      </c>
      <c r="I18" s="11">
        <v>0</v>
      </c>
      <c r="J18" s="11">
        <v>0</v>
      </c>
      <c r="K18" s="137">
        <f t="shared" ref="K18:K35" si="3">F18*E18</f>
        <v>0</v>
      </c>
      <c r="M18" s="110"/>
      <c r="N18" s="110"/>
      <c r="O18" s="111"/>
      <c r="P18" s="111"/>
      <c r="Q18" s="112"/>
      <c r="R18" s="112"/>
    </row>
    <row r="19" spans="1:18" ht="28.5" x14ac:dyDescent="0.35">
      <c r="A19" s="31">
        <v>3</v>
      </c>
      <c r="B19" s="14"/>
      <c r="C19" s="7" t="s">
        <v>158</v>
      </c>
      <c r="D19" s="30" t="s">
        <v>0</v>
      </c>
      <c r="E19" s="29">
        <v>1</v>
      </c>
      <c r="F19" s="130">
        <f t="shared" si="0"/>
        <v>0</v>
      </c>
      <c r="G19" s="11">
        <f t="shared" si="1"/>
        <v>0</v>
      </c>
      <c r="H19" s="11">
        <f t="shared" si="2"/>
        <v>0</v>
      </c>
      <c r="I19" s="11">
        <v>0</v>
      </c>
      <c r="J19" s="11">
        <v>0</v>
      </c>
      <c r="K19" s="137">
        <f t="shared" si="3"/>
        <v>0</v>
      </c>
      <c r="M19" s="110"/>
      <c r="N19" s="110"/>
      <c r="O19" s="111"/>
      <c r="P19" s="111"/>
      <c r="Q19" s="112"/>
      <c r="R19" s="112"/>
    </row>
    <row r="20" spans="1:18" ht="28.5" x14ac:dyDescent="0.35">
      <c r="A20" s="31">
        <v>4</v>
      </c>
      <c r="B20" s="14"/>
      <c r="C20" s="7" t="s">
        <v>157</v>
      </c>
      <c r="D20" s="30" t="s">
        <v>0</v>
      </c>
      <c r="E20" s="29">
        <v>1</v>
      </c>
      <c r="F20" s="130">
        <f t="shared" si="0"/>
        <v>0</v>
      </c>
      <c r="G20" s="11">
        <f t="shared" si="1"/>
        <v>0</v>
      </c>
      <c r="H20" s="11">
        <f t="shared" si="2"/>
        <v>0</v>
      </c>
      <c r="I20" s="11">
        <v>0</v>
      </c>
      <c r="J20" s="11">
        <v>0</v>
      </c>
      <c r="K20" s="137">
        <f t="shared" si="3"/>
        <v>0</v>
      </c>
      <c r="M20" s="110"/>
      <c r="N20" s="110"/>
      <c r="O20" s="111"/>
      <c r="P20" s="111"/>
      <c r="Q20" s="112"/>
      <c r="R20" s="112"/>
    </row>
    <row r="21" spans="1:18" ht="28.5" x14ac:dyDescent="0.35">
      <c r="A21" s="31">
        <v>5</v>
      </c>
      <c r="B21" s="14"/>
      <c r="C21" s="7" t="s">
        <v>156</v>
      </c>
      <c r="D21" s="8" t="s">
        <v>0</v>
      </c>
      <c r="E21" s="29">
        <v>1</v>
      </c>
      <c r="F21" s="130">
        <f t="shared" si="0"/>
        <v>0</v>
      </c>
      <c r="G21" s="11">
        <f t="shared" si="1"/>
        <v>0</v>
      </c>
      <c r="H21" s="11">
        <f t="shared" si="2"/>
        <v>0</v>
      </c>
      <c r="I21" s="11">
        <v>0</v>
      </c>
      <c r="J21" s="11">
        <v>0</v>
      </c>
      <c r="K21" s="137">
        <f t="shared" si="3"/>
        <v>0</v>
      </c>
      <c r="M21" s="110"/>
      <c r="N21" s="110"/>
      <c r="O21" s="111"/>
      <c r="P21" s="111"/>
      <c r="Q21" s="112"/>
      <c r="R21" s="112"/>
    </row>
    <row r="22" spans="1:18" ht="28.5" x14ac:dyDescent="0.35">
      <c r="A22" s="31">
        <v>6</v>
      </c>
      <c r="B22" s="14"/>
      <c r="C22" s="7" t="s">
        <v>155</v>
      </c>
      <c r="D22" s="8" t="s">
        <v>0</v>
      </c>
      <c r="E22" s="29">
        <v>1</v>
      </c>
      <c r="F22" s="130">
        <f t="shared" si="0"/>
        <v>0</v>
      </c>
      <c r="G22" s="11">
        <f t="shared" si="1"/>
        <v>0</v>
      </c>
      <c r="H22" s="11">
        <f t="shared" si="2"/>
        <v>0</v>
      </c>
      <c r="I22" s="11">
        <v>0</v>
      </c>
      <c r="J22" s="11">
        <v>0</v>
      </c>
      <c r="K22" s="137">
        <f t="shared" si="3"/>
        <v>0</v>
      </c>
      <c r="M22" s="110"/>
      <c r="N22" s="110"/>
      <c r="O22" s="111"/>
      <c r="P22" s="111"/>
      <c r="Q22" s="112"/>
      <c r="R22" s="112"/>
    </row>
    <row r="23" spans="1:18" ht="28.5" x14ac:dyDescent="0.35">
      <c r="A23" s="31">
        <v>7</v>
      </c>
      <c r="B23" s="14"/>
      <c r="C23" s="7" t="s">
        <v>154</v>
      </c>
      <c r="D23" s="8" t="s">
        <v>0</v>
      </c>
      <c r="E23" s="29">
        <v>1</v>
      </c>
      <c r="F23" s="130">
        <f t="shared" si="0"/>
        <v>0</v>
      </c>
      <c r="G23" s="11">
        <f t="shared" si="1"/>
        <v>0</v>
      </c>
      <c r="H23" s="11">
        <f t="shared" si="2"/>
        <v>0</v>
      </c>
      <c r="I23" s="11">
        <v>0</v>
      </c>
      <c r="J23" s="11">
        <v>0</v>
      </c>
      <c r="K23" s="137">
        <f t="shared" si="3"/>
        <v>0</v>
      </c>
      <c r="M23" s="110"/>
      <c r="N23" s="110"/>
      <c r="O23" s="111"/>
      <c r="P23" s="111"/>
      <c r="Q23" s="112"/>
      <c r="R23" s="112"/>
    </row>
    <row r="24" spans="1:18" ht="28.5" x14ac:dyDescent="0.35">
      <c r="A24" s="31">
        <v>8</v>
      </c>
      <c r="B24" s="14"/>
      <c r="C24" s="7" t="s">
        <v>153</v>
      </c>
      <c r="D24" s="8" t="s">
        <v>0</v>
      </c>
      <c r="E24" s="29">
        <v>1</v>
      </c>
      <c r="F24" s="130">
        <f t="shared" si="0"/>
        <v>0</v>
      </c>
      <c r="G24" s="11">
        <f t="shared" si="1"/>
        <v>0</v>
      </c>
      <c r="H24" s="11">
        <f t="shared" si="2"/>
        <v>0</v>
      </c>
      <c r="I24" s="11">
        <v>0</v>
      </c>
      <c r="J24" s="11">
        <v>0</v>
      </c>
      <c r="K24" s="137">
        <f t="shared" si="3"/>
        <v>0</v>
      </c>
      <c r="M24" s="110"/>
      <c r="N24" s="110"/>
      <c r="O24" s="111"/>
      <c r="P24" s="111"/>
      <c r="Q24" s="112"/>
      <c r="R24" s="112"/>
    </row>
    <row r="25" spans="1:18" ht="28.5" x14ac:dyDescent="0.35">
      <c r="A25" s="31">
        <v>9</v>
      </c>
      <c r="B25" s="14"/>
      <c r="C25" s="7" t="s">
        <v>152</v>
      </c>
      <c r="D25" s="8" t="s">
        <v>0</v>
      </c>
      <c r="E25" s="29">
        <v>1</v>
      </c>
      <c r="F25" s="130">
        <f t="shared" si="0"/>
        <v>0</v>
      </c>
      <c r="G25" s="11">
        <f t="shared" si="1"/>
        <v>0</v>
      </c>
      <c r="H25" s="11">
        <f t="shared" si="2"/>
        <v>0</v>
      </c>
      <c r="I25" s="11">
        <v>0</v>
      </c>
      <c r="J25" s="11">
        <v>0</v>
      </c>
      <c r="K25" s="137">
        <f t="shared" si="3"/>
        <v>0</v>
      </c>
      <c r="M25" s="110"/>
      <c r="N25" s="110"/>
      <c r="O25" s="111"/>
      <c r="P25" s="111"/>
      <c r="Q25" s="112"/>
      <c r="R25" s="112"/>
    </row>
    <row r="26" spans="1:18" ht="28.5" x14ac:dyDescent="0.35">
      <c r="A26" s="31">
        <v>10</v>
      </c>
      <c r="B26" s="14"/>
      <c r="C26" s="7" t="s">
        <v>151</v>
      </c>
      <c r="D26" s="8" t="s">
        <v>0</v>
      </c>
      <c r="E26" s="29">
        <v>1</v>
      </c>
      <c r="F26" s="130">
        <f t="shared" si="0"/>
        <v>0</v>
      </c>
      <c r="G26" s="11">
        <f t="shared" si="1"/>
        <v>0</v>
      </c>
      <c r="H26" s="11">
        <f t="shared" si="2"/>
        <v>0</v>
      </c>
      <c r="I26" s="11">
        <v>0</v>
      </c>
      <c r="J26" s="11">
        <v>0</v>
      </c>
      <c r="K26" s="137">
        <f t="shared" si="3"/>
        <v>0</v>
      </c>
      <c r="M26" s="110"/>
      <c r="N26" s="110"/>
      <c r="O26" s="111"/>
      <c r="P26" s="111"/>
      <c r="Q26" s="112"/>
      <c r="R26" s="112"/>
    </row>
    <row r="27" spans="1:18" ht="28.5" x14ac:dyDescent="0.35">
      <c r="A27" s="31">
        <v>11</v>
      </c>
      <c r="B27" s="14"/>
      <c r="C27" s="7" t="s">
        <v>150</v>
      </c>
      <c r="D27" s="8" t="s">
        <v>0</v>
      </c>
      <c r="E27" s="29">
        <v>1</v>
      </c>
      <c r="F27" s="130">
        <f t="shared" si="0"/>
        <v>0</v>
      </c>
      <c r="G27" s="11">
        <f t="shared" si="1"/>
        <v>0</v>
      </c>
      <c r="H27" s="11">
        <f t="shared" si="2"/>
        <v>0</v>
      </c>
      <c r="I27" s="11">
        <v>0</v>
      </c>
      <c r="J27" s="11">
        <v>0</v>
      </c>
      <c r="K27" s="137">
        <f t="shared" si="3"/>
        <v>0</v>
      </c>
      <c r="M27" s="110"/>
      <c r="N27" s="110"/>
      <c r="O27" s="111"/>
      <c r="P27" s="111"/>
      <c r="Q27" s="112"/>
      <c r="R27" s="112"/>
    </row>
    <row r="28" spans="1:18" ht="28.5" x14ac:dyDescent="0.35">
      <c r="A28" s="31">
        <v>12</v>
      </c>
      <c r="B28" s="14"/>
      <c r="C28" s="7" t="s">
        <v>149</v>
      </c>
      <c r="D28" s="8" t="s">
        <v>0</v>
      </c>
      <c r="E28" s="29">
        <v>1</v>
      </c>
      <c r="F28" s="130">
        <f t="shared" si="0"/>
        <v>0</v>
      </c>
      <c r="G28" s="11">
        <f t="shared" si="1"/>
        <v>0</v>
      </c>
      <c r="H28" s="11">
        <f t="shared" si="2"/>
        <v>0</v>
      </c>
      <c r="I28" s="11">
        <v>0</v>
      </c>
      <c r="J28" s="11">
        <v>0</v>
      </c>
      <c r="K28" s="137">
        <f t="shared" si="3"/>
        <v>0</v>
      </c>
      <c r="M28" s="110"/>
      <c r="N28" s="110"/>
      <c r="O28" s="111"/>
      <c r="P28" s="111"/>
      <c r="Q28" s="112"/>
      <c r="R28" s="112"/>
    </row>
    <row r="29" spans="1:18" ht="28.5" x14ac:dyDescent="0.35">
      <c r="A29" s="31">
        <v>13</v>
      </c>
      <c r="B29" s="14"/>
      <c r="C29" s="7" t="s">
        <v>148</v>
      </c>
      <c r="D29" s="8" t="s">
        <v>0</v>
      </c>
      <c r="E29" s="29">
        <v>1</v>
      </c>
      <c r="F29" s="130">
        <f t="shared" si="0"/>
        <v>0</v>
      </c>
      <c r="G29" s="11">
        <f t="shared" si="1"/>
        <v>0</v>
      </c>
      <c r="H29" s="11">
        <f t="shared" si="2"/>
        <v>0</v>
      </c>
      <c r="I29" s="11">
        <v>0</v>
      </c>
      <c r="J29" s="11">
        <v>0</v>
      </c>
      <c r="K29" s="137">
        <f t="shared" si="3"/>
        <v>0</v>
      </c>
      <c r="M29" s="110"/>
      <c r="N29" s="110"/>
      <c r="O29" s="111"/>
      <c r="P29" s="111"/>
      <c r="Q29" s="112"/>
      <c r="R29" s="112"/>
    </row>
    <row r="30" spans="1:18" ht="18" customHeight="1" x14ac:dyDescent="0.35">
      <c r="A30" s="31"/>
      <c r="B30" s="14"/>
      <c r="C30" s="124" t="s">
        <v>210</v>
      </c>
      <c r="D30" s="8" t="s">
        <v>0</v>
      </c>
      <c r="E30" s="29">
        <v>1</v>
      </c>
      <c r="F30" s="130">
        <f t="shared" si="0"/>
        <v>0</v>
      </c>
      <c r="G30" s="11">
        <f t="shared" si="1"/>
        <v>0</v>
      </c>
      <c r="H30" s="11">
        <f t="shared" si="2"/>
        <v>0</v>
      </c>
      <c r="I30" s="11">
        <v>0</v>
      </c>
      <c r="J30" s="11">
        <v>0</v>
      </c>
      <c r="K30" s="137">
        <f t="shared" si="3"/>
        <v>0</v>
      </c>
      <c r="L30" s="153" t="s">
        <v>211</v>
      </c>
      <c r="M30" s="110"/>
      <c r="N30" s="110"/>
      <c r="O30" s="111"/>
      <c r="P30" s="111"/>
      <c r="Q30" s="112"/>
      <c r="R30" s="112"/>
    </row>
    <row r="31" spans="1:18" ht="18" customHeight="1" x14ac:dyDescent="0.35">
      <c r="A31" s="31"/>
      <c r="B31" s="14"/>
      <c r="C31" s="124" t="s">
        <v>212</v>
      </c>
      <c r="D31" s="8" t="s">
        <v>0</v>
      </c>
      <c r="E31" s="29">
        <v>1</v>
      </c>
      <c r="F31" s="130">
        <f t="shared" si="0"/>
        <v>0</v>
      </c>
      <c r="G31" s="11">
        <f t="shared" si="1"/>
        <v>0</v>
      </c>
      <c r="H31" s="11">
        <f t="shared" si="2"/>
        <v>0</v>
      </c>
      <c r="I31" s="11">
        <v>0</v>
      </c>
      <c r="J31" s="11">
        <v>0</v>
      </c>
      <c r="K31" s="137">
        <f t="shared" si="3"/>
        <v>0</v>
      </c>
      <c r="L31" s="153"/>
      <c r="M31" s="110"/>
      <c r="N31" s="110"/>
      <c r="O31" s="111"/>
      <c r="P31" s="111"/>
      <c r="Q31" s="112"/>
      <c r="R31" s="112"/>
    </row>
    <row r="32" spans="1:18" ht="30" customHeight="1" x14ac:dyDescent="0.35">
      <c r="A32" s="31"/>
      <c r="B32" s="14"/>
      <c r="C32" s="124" t="s">
        <v>215</v>
      </c>
      <c r="D32" s="8" t="s">
        <v>0</v>
      </c>
      <c r="E32" s="29">
        <v>32</v>
      </c>
      <c r="F32" s="130">
        <f t="shared" si="0"/>
        <v>0</v>
      </c>
      <c r="G32" s="11">
        <f t="shared" si="1"/>
        <v>0</v>
      </c>
      <c r="H32" s="11">
        <f t="shared" si="2"/>
        <v>0</v>
      </c>
      <c r="I32" s="11">
        <v>0</v>
      </c>
      <c r="J32" s="11">
        <v>0</v>
      </c>
      <c r="K32" s="137">
        <f t="shared" si="3"/>
        <v>0</v>
      </c>
      <c r="L32" s="153"/>
      <c r="M32" s="110"/>
      <c r="N32" s="110"/>
      <c r="O32" s="111"/>
      <c r="P32" s="111"/>
      <c r="Q32" s="112"/>
      <c r="R32" s="112"/>
    </row>
    <row r="33" spans="1:18" ht="18" customHeight="1" x14ac:dyDescent="0.35">
      <c r="A33" s="31"/>
      <c r="B33" s="14"/>
      <c r="C33" s="124" t="s">
        <v>213</v>
      </c>
      <c r="D33" s="8" t="s">
        <v>0</v>
      </c>
      <c r="E33" s="29">
        <v>1</v>
      </c>
      <c r="F33" s="130">
        <f t="shared" si="0"/>
        <v>0</v>
      </c>
      <c r="G33" s="11">
        <f t="shared" si="1"/>
        <v>0</v>
      </c>
      <c r="H33" s="11">
        <f t="shared" si="2"/>
        <v>0</v>
      </c>
      <c r="I33" s="11">
        <v>0</v>
      </c>
      <c r="J33" s="11">
        <v>0</v>
      </c>
      <c r="K33" s="137">
        <f t="shared" si="3"/>
        <v>0</v>
      </c>
      <c r="L33" s="153"/>
      <c r="M33" s="110"/>
      <c r="N33" s="110"/>
      <c r="O33" s="111"/>
      <c r="P33" s="111"/>
      <c r="Q33" s="112"/>
      <c r="R33" s="112"/>
    </row>
    <row r="34" spans="1:18" ht="18" customHeight="1" x14ac:dyDescent="0.35">
      <c r="A34" s="31"/>
      <c r="B34" s="14"/>
      <c r="C34" s="124" t="s">
        <v>214</v>
      </c>
      <c r="D34" s="8" t="s">
        <v>0</v>
      </c>
      <c r="E34" s="29">
        <v>1</v>
      </c>
      <c r="F34" s="130">
        <f t="shared" si="0"/>
        <v>0</v>
      </c>
      <c r="G34" s="11">
        <f t="shared" si="1"/>
        <v>0</v>
      </c>
      <c r="H34" s="11">
        <f t="shared" si="2"/>
        <v>0</v>
      </c>
      <c r="I34" s="11">
        <v>0</v>
      </c>
      <c r="J34" s="11">
        <v>0</v>
      </c>
      <c r="K34" s="137">
        <f t="shared" si="3"/>
        <v>0</v>
      </c>
      <c r="L34" s="153"/>
      <c r="M34" s="110"/>
      <c r="N34" s="110"/>
      <c r="O34" s="111"/>
      <c r="P34" s="111"/>
      <c r="Q34" s="112"/>
      <c r="R34" s="112"/>
    </row>
    <row r="35" spans="1:18" ht="42.5" x14ac:dyDescent="0.35">
      <c r="A35" s="31">
        <v>14</v>
      </c>
      <c r="B35" s="14"/>
      <c r="C35" s="7" t="s">
        <v>147</v>
      </c>
      <c r="D35" s="30" t="s">
        <v>0</v>
      </c>
      <c r="E35" s="29">
        <f>SUM(E17:E34)</f>
        <v>49</v>
      </c>
      <c r="F35" s="130">
        <f t="shared" si="0"/>
        <v>0</v>
      </c>
      <c r="G35" s="11">
        <f t="shared" si="1"/>
        <v>0</v>
      </c>
      <c r="H35" s="11">
        <f t="shared" si="2"/>
        <v>0</v>
      </c>
      <c r="I35" s="11">
        <v>0</v>
      </c>
      <c r="J35" s="11">
        <v>0</v>
      </c>
      <c r="K35" s="137">
        <f t="shared" si="3"/>
        <v>0</v>
      </c>
      <c r="L35" s="129" t="s">
        <v>216</v>
      </c>
      <c r="M35" s="110"/>
      <c r="N35" s="110"/>
      <c r="O35" s="111"/>
      <c r="P35" s="111"/>
      <c r="Q35" s="112"/>
      <c r="R35" s="112"/>
    </row>
    <row r="36" spans="1:18" ht="56.5" x14ac:dyDescent="0.35">
      <c r="A36" s="7"/>
      <c r="B36" s="7"/>
      <c r="C36" s="7" t="s">
        <v>146</v>
      </c>
      <c r="D36" s="30"/>
      <c r="E36" s="29"/>
      <c r="F36" s="130"/>
      <c r="G36" s="11"/>
      <c r="H36" s="11"/>
      <c r="I36" s="11"/>
      <c r="J36" s="11"/>
      <c r="K36" s="137">
        <v>0</v>
      </c>
      <c r="M36" s="110"/>
      <c r="N36" s="110"/>
      <c r="O36" s="111"/>
      <c r="P36" s="111"/>
      <c r="Q36" s="112"/>
      <c r="R36" s="112"/>
    </row>
    <row r="37" spans="1:18" ht="16.5" customHeight="1" x14ac:dyDescent="0.35">
      <c r="A37" s="160" t="s">
        <v>145</v>
      </c>
      <c r="B37" s="160"/>
      <c r="C37" s="160"/>
      <c r="D37" s="160"/>
      <c r="E37" s="161"/>
      <c r="F37" s="138"/>
      <c r="G37" s="139"/>
      <c r="H37" s="139"/>
      <c r="I37" s="139"/>
      <c r="J37" s="139"/>
      <c r="K37" s="138">
        <f>SUM(K17:K36)</f>
        <v>0</v>
      </c>
      <c r="M37" s="110"/>
      <c r="N37" s="110"/>
      <c r="O37" s="111"/>
      <c r="P37" s="111"/>
      <c r="Q37" s="112"/>
      <c r="R37" s="112"/>
    </row>
    <row r="38" spans="1:18" ht="18" customHeight="1" x14ac:dyDescent="0.35">
      <c r="A38" s="165"/>
      <c r="B38" s="166"/>
      <c r="C38" s="166"/>
      <c r="D38" s="166"/>
      <c r="E38" s="166"/>
      <c r="F38" s="138"/>
      <c r="G38" s="139"/>
      <c r="H38" s="139"/>
      <c r="I38" s="139"/>
      <c r="J38" s="139"/>
      <c r="K38" s="138"/>
      <c r="M38" s="110"/>
      <c r="N38" s="110"/>
      <c r="O38" s="111"/>
      <c r="P38" s="111"/>
      <c r="Q38" s="112"/>
      <c r="R38" s="112"/>
    </row>
    <row r="39" spans="1:18" s="15" customFormat="1" ht="18" x14ac:dyDescent="0.35">
      <c r="A39" s="163" t="s">
        <v>144</v>
      </c>
      <c r="B39" s="163"/>
      <c r="C39" s="163"/>
      <c r="D39" s="163"/>
      <c r="E39" s="164"/>
      <c r="F39" s="140"/>
      <c r="G39" s="140"/>
      <c r="H39" s="140"/>
      <c r="I39" s="140"/>
      <c r="J39" s="140"/>
      <c r="K39" s="140"/>
      <c r="L39" s="125"/>
      <c r="M39" s="110"/>
      <c r="N39" s="110"/>
      <c r="O39" s="111"/>
      <c r="P39" s="111"/>
      <c r="Q39" s="112"/>
      <c r="R39" s="112"/>
    </row>
    <row r="40" spans="1:18" s="15" customFormat="1" ht="18.75" customHeight="1" x14ac:dyDescent="0.35">
      <c r="A40" s="10" t="s">
        <v>6</v>
      </c>
      <c r="B40" s="10"/>
      <c r="C40" s="10" t="s">
        <v>5</v>
      </c>
      <c r="D40" s="10" t="s">
        <v>4</v>
      </c>
      <c r="E40" s="9" t="s">
        <v>3</v>
      </c>
      <c r="F40" s="141" t="s">
        <v>2</v>
      </c>
      <c r="G40" s="141"/>
      <c r="H40" s="141"/>
      <c r="I40" s="141"/>
      <c r="J40" s="141"/>
      <c r="K40" s="141" t="s">
        <v>1</v>
      </c>
      <c r="L40" s="125"/>
      <c r="M40" s="110"/>
      <c r="N40" s="110"/>
      <c r="O40" s="111"/>
      <c r="P40" s="111"/>
      <c r="Q40" s="112"/>
      <c r="R40" s="112"/>
    </row>
    <row r="41" spans="1:18" s="15" customFormat="1" ht="18" x14ac:dyDescent="0.35">
      <c r="A41" s="28">
        <v>1</v>
      </c>
      <c r="B41" s="14"/>
      <c r="C41" s="7" t="s">
        <v>143</v>
      </c>
      <c r="D41" s="13" t="s">
        <v>0</v>
      </c>
      <c r="E41" s="12">
        <v>275</v>
      </c>
      <c r="F41" s="130">
        <f t="shared" ref="F41:F51" si="4">G41+H41+I41+J41</f>
        <v>0</v>
      </c>
      <c r="G41" s="11">
        <f t="shared" ref="G41:G51" si="5">O41</f>
        <v>0</v>
      </c>
      <c r="H41" s="11">
        <f t="shared" ref="H41:H51" si="6">Q41</f>
        <v>0</v>
      </c>
      <c r="I41" s="11">
        <v>0</v>
      </c>
      <c r="J41" s="11">
        <v>0</v>
      </c>
      <c r="K41" s="137">
        <f t="shared" ref="K41:K51" si="7">F41*E41</f>
        <v>0</v>
      </c>
      <c r="L41" s="125"/>
      <c r="M41" s="110"/>
      <c r="N41" s="110"/>
      <c r="O41" s="111"/>
      <c r="P41" s="111"/>
      <c r="Q41" s="112"/>
      <c r="R41" s="112"/>
    </row>
    <row r="42" spans="1:18" s="15" customFormat="1" ht="18" x14ac:dyDescent="0.35">
      <c r="A42" s="28">
        <v>2</v>
      </c>
      <c r="B42" s="14"/>
      <c r="C42" s="7" t="s">
        <v>142</v>
      </c>
      <c r="D42" s="13" t="s">
        <v>0</v>
      </c>
      <c r="E42" s="12">
        <v>84</v>
      </c>
      <c r="F42" s="130">
        <f t="shared" si="4"/>
        <v>0</v>
      </c>
      <c r="G42" s="11">
        <f t="shared" si="5"/>
        <v>0</v>
      </c>
      <c r="H42" s="11">
        <f t="shared" si="6"/>
        <v>0</v>
      </c>
      <c r="I42" s="11">
        <v>0</v>
      </c>
      <c r="J42" s="11">
        <v>0</v>
      </c>
      <c r="K42" s="137">
        <f t="shared" si="7"/>
        <v>0</v>
      </c>
      <c r="L42" s="125"/>
      <c r="M42" s="110"/>
      <c r="N42" s="110"/>
      <c r="O42" s="111"/>
      <c r="P42" s="111"/>
      <c r="Q42" s="112"/>
      <c r="R42" s="112"/>
    </row>
    <row r="43" spans="1:18" s="15" customFormat="1" ht="18" x14ac:dyDescent="0.35">
      <c r="A43" s="28">
        <v>3</v>
      </c>
      <c r="B43" s="14"/>
      <c r="C43" s="7" t="s">
        <v>141</v>
      </c>
      <c r="D43" s="13" t="s">
        <v>0</v>
      </c>
      <c r="E43" s="12">
        <v>29</v>
      </c>
      <c r="F43" s="130">
        <f t="shared" si="4"/>
        <v>0</v>
      </c>
      <c r="G43" s="11">
        <f t="shared" si="5"/>
        <v>0</v>
      </c>
      <c r="H43" s="11">
        <f t="shared" si="6"/>
        <v>0</v>
      </c>
      <c r="I43" s="11">
        <v>0</v>
      </c>
      <c r="J43" s="11">
        <v>0</v>
      </c>
      <c r="K43" s="137">
        <f t="shared" si="7"/>
        <v>0</v>
      </c>
      <c r="L43" s="125"/>
      <c r="M43" s="110"/>
      <c r="N43" s="110"/>
      <c r="O43" s="111"/>
      <c r="P43" s="111"/>
      <c r="Q43" s="112"/>
      <c r="R43" s="112"/>
    </row>
    <row r="44" spans="1:18" s="15" customFormat="1" ht="28.5" x14ac:dyDescent="0.35">
      <c r="A44" s="28">
        <v>4</v>
      </c>
      <c r="B44" s="14"/>
      <c r="C44" s="7" t="s">
        <v>140</v>
      </c>
      <c r="D44" s="13" t="s">
        <v>0</v>
      </c>
      <c r="E44" s="12">
        <v>16</v>
      </c>
      <c r="F44" s="130">
        <f t="shared" si="4"/>
        <v>0</v>
      </c>
      <c r="G44" s="11">
        <f t="shared" si="5"/>
        <v>0</v>
      </c>
      <c r="H44" s="11">
        <f t="shared" si="6"/>
        <v>0</v>
      </c>
      <c r="I44" s="11">
        <v>0</v>
      </c>
      <c r="J44" s="11">
        <v>0</v>
      </c>
      <c r="K44" s="137">
        <f t="shared" si="7"/>
        <v>0</v>
      </c>
      <c r="L44" s="125"/>
      <c r="M44" s="110"/>
      <c r="N44" s="110"/>
      <c r="O44" s="111"/>
      <c r="P44" s="111"/>
      <c r="Q44" s="112"/>
      <c r="R44" s="112"/>
    </row>
    <row r="45" spans="1:18" s="15" customFormat="1" ht="42.5" x14ac:dyDescent="0.35">
      <c r="A45" s="28">
        <v>5</v>
      </c>
      <c r="B45" s="14"/>
      <c r="C45" s="7" t="s">
        <v>139</v>
      </c>
      <c r="D45" s="13" t="s">
        <v>0</v>
      </c>
      <c r="E45" s="12">
        <v>92</v>
      </c>
      <c r="F45" s="130">
        <f t="shared" si="4"/>
        <v>0</v>
      </c>
      <c r="G45" s="11">
        <f t="shared" si="5"/>
        <v>0</v>
      </c>
      <c r="H45" s="11">
        <f t="shared" si="6"/>
        <v>0</v>
      </c>
      <c r="I45" s="11">
        <v>0</v>
      </c>
      <c r="J45" s="11">
        <v>0</v>
      </c>
      <c r="K45" s="137">
        <f t="shared" si="7"/>
        <v>0</v>
      </c>
      <c r="L45" s="125"/>
      <c r="M45" s="110"/>
      <c r="N45" s="110"/>
      <c r="O45" s="111"/>
      <c r="P45" s="111"/>
      <c r="Q45" s="112"/>
      <c r="R45" s="112"/>
    </row>
    <row r="46" spans="1:18" s="15" customFormat="1" ht="28.5" x14ac:dyDescent="0.35">
      <c r="A46" s="28">
        <v>6</v>
      </c>
      <c r="B46" s="14"/>
      <c r="C46" s="7" t="s">
        <v>138</v>
      </c>
      <c r="D46" s="13" t="s">
        <v>0</v>
      </c>
      <c r="E46" s="12">
        <v>258</v>
      </c>
      <c r="F46" s="130">
        <f t="shared" si="4"/>
        <v>0</v>
      </c>
      <c r="G46" s="11">
        <f t="shared" si="5"/>
        <v>0</v>
      </c>
      <c r="H46" s="11">
        <f t="shared" si="6"/>
        <v>0</v>
      </c>
      <c r="I46" s="11">
        <v>0</v>
      </c>
      <c r="J46" s="11">
        <v>0</v>
      </c>
      <c r="K46" s="137">
        <f t="shared" si="7"/>
        <v>0</v>
      </c>
      <c r="L46" s="125"/>
      <c r="M46" s="110"/>
      <c r="N46" s="110"/>
      <c r="O46" s="111"/>
      <c r="P46" s="111"/>
      <c r="Q46" s="112"/>
      <c r="R46" s="112"/>
    </row>
    <row r="47" spans="1:18" s="15" customFormat="1" ht="18" x14ac:dyDescent="0.35">
      <c r="A47" s="28">
        <v>7</v>
      </c>
      <c r="B47" s="14"/>
      <c r="C47" s="7" t="s">
        <v>137</v>
      </c>
      <c r="D47" s="13" t="s">
        <v>0</v>
      </c>
      <c r="E47" s="12">
        <v>10</v>
      </c>
      <c r="F47" s="130">
        <f t="shared" si="4"/>
        <v>0</v>
      </c>
      <c r="G47" s="11">
        <f t="shared" si="5"/>
        <v>0</v>
      </c>
      <c r="H47" s="11">
        <f t="shared" si="6"/>
        <v>0</v>
      </c>
      <c r="I47" s="11">
        <v>0</v>
      </c>
      <c r="J47" s="11">
        <v>0</v>
      </c>
      <c r="K47" s="137">
        <f t="shared" si="7"/>
        <v>0</v>
      </c>
      <c r="L47" s="125"/>
      <c r="M47" s="110"/>
      <c r="N47" s="110"/>
      <c r="O47" s="111"/>
      <c r="P47" s="111"/>
      <c r="Q47" s="112"/>
      <c r="R47" s="112"/>
    </row>
    <row r="48" spans="1:18" s="15" customFormat="1" ht="18" x14ac:dyDescent="0.35">
      <c r="A48" s="28">
        <v>8</v>
      </c>
      <c r="B48" s="14"/>
      <c r="C48" s="7" t="s">
        <v>136</v>
      </c>
      <c r="D48" s="13" t="s">
        <v>0</v>
      </c>
      <c r="E48" s="12">
        <v>23</v>
      </c>
      <c r="F48" s="130">
        <f t="shared" si="4"/>
        <v>0</v>
      </c>
      <c r="G48" s="11">
        <f t="shared" si="5"/>
        <v>0</v>
      </c>
      <c r="H48" s="11">
        <f t="shared" si="6"/>
        <v>0</v>
      </c>
      <c r="I48" s="11">
        <v>0</v>
      </c>
      <c r="J48" s="11">
        <v>0</v>
      </c>
      <c r="K48" s="137">
        <f t="shared" si="7"/>
        <v>0</v>
      </c>
      <c r="L48" s="125"/>
      <c r="M48" s="110"/>
      <c r="N48" s="110"/>
      <c r="O48" s="111"/>
      <c r="P48" s="111"/>
      <c r="Q48" s="112"/>
      <c r="R48" s="112"/>
    </row>
    <row r="49" spans="1:18" s="15" customFormat="1" ht="18" x14ac:dyDescent="0.35">
      <c r="A49" s="28">
        <v>9</v>
      </c>
      <c r="B49" s="14"/>
      <c r="C49" s="7" t="s">
        <v>135</v>
      </c>
      <c r="D49" s="13" t="s">
        <v>0</v>
      </c>
      <c r="E49" s="12">
        <v>220</v>
      </c>
      <c r="F49" s="130">
        <f t="shared" si="4"/>
        <v>0</v>
      </c>
      <c r="G49" s="11">
        <f t="shared" si="5"/>
        <v>0</v>
      </c>
      <c r="H49" s="11">
        <f t="shared" si="6"/>
        <v>0</v>
      </c>
      <c r="I49" s="11">
        <v>0</v>
      </c>
      <c r="J49" s="11">
        <v>0</v>
      </c>
      <c r="K49" s="137">
        <f t="shared" si="7"/>
        <v>0</v>
      </c>
      <c r="L49" s="125"/>
      <c r="M49" s="110"/>
      <c r="N49" s="110"/>
      <c r="O49" s="111"/>
      <c r="P49" s="111"/>
      <c r="Q49" s="112"/>
      <c r="R49" s="112"/>
    </row>
    <row r="50" spans="1:18" s="15" customFormat="1" ht="18" x14ac:dyDescent="0.35">
      <c r="A50" s="28">
        <v>10</v>
      </c>
      <c r="B50" s="14"/>
      <c r="C50" s="7" t="s">
        <v>116</v>
      </c>
      <c r="D50" s="13" t="s">
        <v>55</v>
      </c>
      <c r="E50" s="12">
        <v>1</v>
      </c>
      <c r="F50" s="130">
        <f t="shared" si="4"/>
        <v>0</v>
      </c>
      <c r="G50" s="11">
        <f t="shared" si="5"/>
        <v>0</v>
      </c>
      <c r="H50" s="11">
        <f t="shared" si="6"/>
        <v>0</v>
      </c>
      <c r="I50" s="11">
        <v>0</v>
      </c>
      <c r="J50" s="11">
        <v>0</v>
      </c>
      <c r="K50" s="137">
        <f t="shared" si="7"/>
        <v>0</v>
      </c>
      <c r="L50" s="125"/>
      <c r="M50" s="110"/>
      <c r="N50" s="110"/>
      <c r="O50" s="111"/>
      <c r="P50" s="111"/>
      <c r="Q50" s="112"/>
      <c r="R50" s="112"/>
    </row>
    <row r="51" spans="1:18" s="15" customFormat="1" ht="18" x14ac:dyDescent="0.35">
      <c r="A51" s="28">
        <v>11</v>
      </c>
      <c r="B51" s="14"/>
      <c r="C51" s="7" t="s">
        <v>115</v>
      </c>
      <c r="D51" s="13" t="s">
        <v>55</v>
      </c>
      <c r="E51" s="12">
        <v>1</v>
      </c>
      <c r="F51" s="130">
        <f t="shared" si="4"/>
        <v>0</v>
      </c>
      <c r="G51" s="11">
        <f t="shared" si="5"/>
        <v>0</v>
      </c>
      <c r="H51" s="11">
        <f t="shared" si="6"/>
        <v>0</v>
      </c>
      <c r="I51" s="11">
        <v>0</v>
      </c>
      <c r="J51" s="11">
        <v>0</v>
      </c>
      <c r="K51" s="137">
        <f t="shared" si="7"/>
        <v>0</v>
      </c>
      <c r="L51" s="125"/>
      <c r="M51" s="110"/>
      <c r="N51" s="110"/>
      <c r="O51" s="111"/>
      <c r="P51" s="111"/>
      <c r="Q51" s="112"/>
      <c r="R51" s="112"/>
    </row>
    <row r="52" spans="1:18" s="15" customFormat="1" ht="18" customHeight="1" x14ac:dyDescent="0.35">
      <c r="A52" s="160" t="s">
        <v>134</v>
      </c>
      <c r="B52" s="160"/>
      <c r="C52" s="160"/>
      <c r="D52" s="160"/>
      <c r="E52" s="161"/>
      <c r="F52" s="140"/>
      <c r="G52" s="140"/>
      <c r="H52" s="140"/>
      <c r="I52" s="140"/>
      <c r="J52" s="140"/>
      <c r="K52" s="140">
        <f>SUM(K41:K51)</f>
        <v>0</v>
      </c>
      <c r="L52" s="125"/>
      <c r="M52" s="110"/>
      <c r="N52" s="110"/>
      <c r="O52" s="111"/>
      <c r="P52" s="111"/>
      <c r="Q52" s="112"/>
      <c r="R52" s="112"/>
    </row>
    <row r="53" spans="1:18" s="15" customFormat="1" ht="18" x14ac:dyDescent="0.35">
      <c r="A53" s="19"/>
      <c r="B53" s="19"/>
      <c r="C53" s="19"/>
      <c r="D53" s="19"/>
      <c r="E53" s="19"/>
      <c r="F53" s="140"/>
      <c r="G53" s="140"/>
      <c r="H53" s="140"/>
      <c r="I53" s="140"/>
      <c r="J53" s="140"/>
      <c r="K53" s="140"/>
      <c r="L53" s="125"/>
      <c r="M53" s="110"/>
      <c r="N53" s="110"/>
      <c r="O53" s="111"/>
      <c r="P53" s="111"/>
      <c r="Q53" s="112"/>
      <c r="R53" s="112"/>
    </row>
    <row r="54" spans="1:18" s="15" customFormat="1" ht="18" x14ac:dyDescent="0.35">
      <c r="A54" s="163" t="s">
        <v>133</v>
      </c>
      <c r="B54" s="163"/>
      <c r="C54" s="163"/>
      <c r="D54" s="163"/>
      <c r="E54" s="164"/>
      <c r="F54" s="140"/>
      <c r="G54" s="140"/>
      <c r="H54" s="140"/>
      <c r="I54" s="140"/>
      <c r="J54" s="140"/>
      <c r="K54" s="140"/>
      <c r="L54" s="125"/>
      <c r="M54" s="110"/>
      <c r="N54" s="110"/>
      <c r="O54" s="111"/>
      <c r="P54" s="111"/>
      <c r="Q54" s="112"/>
      <c r="R54" s="112"/>
    </row>
    <row r="55" spans="1:18" s="15" customFormat="1" ht="24.75" customHeight="1" x14ac:dyDescent="0.35">
      <c r="A55" s="26" t="s">
        <v>6</v>
      </c>
      <c r="B55" s="26"/>
      <c r="C55" s="26" t="s">
        <v>5</v>
      </c>
      <c r="D55" s="26" t="s">
        <v>4</v>
      </c>
      <c r="E55" s="27" t="s">
        <v>3</v>
      </c>
      <c r="F55" s="141" t="s">
        <v>2</v>
      </c>
      <c r="G55" s="141"/>
      <c r="H55" s="141"/>
      <c r="I55" s="141"/>
      <c r="J55" s="141"/>
      <c r="K55" s="141" t="s">
        <v>1</v>
      </c>
      <c r="L55" s="125"/>
      <c r="M55" s="110"/>
      <c r="N55" s="110"/>
      <c r="O55" s="111"/>
      <c r="P55" s="111"/>
      <c r="Q55" s="112"/>
      <c r="R55" s="112"/>
    </row>
    <row r="56" spans="1:18" s="15" customFormat="1" ht="28.5" x14ac:dyDescent="0.35">
      <c r="A56" s="23">
        <v>1</v>
      </c>
      <c r="B56" s="26"/>
      <c r="C56" s="7" t="s">
        <v>132</v>
      </c>
      <c r="D56" s="13" t="s">
        <v>0</v>
      </c>
      <c r="E56" s="25">
        <v>38</v>
      </c>
      <c r="F56" s="130">
        <f t="shared" ref="F56:F73" si="8">G56+H56+I56+J56</f>
        <v>0</v>
      </c>
      <c r="G56" s="11">
        <f t="shared" ref="G56:G73" si="9">O56</f>
        <v>0</v>
      </c>
      <c r="H56" s="11">
        <f t="shared" ref="H56:H73" si="10">Q56</f>
        <v>0</v>
      </c>
      <c r="I56" s="11">
        <v>0</v>
      </c>
      <c r="J56" s="11">
        <v>0</v>
      </c>
      <c r="K56" s="137">
        <f t="shared" ref="K56:K73" si="11">F56*E56</f>
        <v>0</v>
      </c>
      <c r="L56" s="125"/>
      <c r="M56" s="110"/>
      <c r="N56" s="110"/>
      <c r="O56" s="111"/>
      <c r="P56" s="111"/>
      <c r="Q56" s="112"/>
      <c r="R56" s="112"/>
    </row>
    <row r="57" spans="1:18" s="15" customFormat="1" ht="42.5" x14ac:dyDescent="0.35">
      <c r="A57" s="23">
        <v>2</v>
      </c>
      <c r="B57" s="14"/>
      <c r="C57" s="7" t="s">
        <v>131</v>
      </c>
      <c r="D57" s="8" t="s">
        <v>0</v>
      </c>
      <c r="E57" s="25">
        <v>53</v>
      </c>
      <c r="F57" s="130">
        <f t="shared" si="8"/>
        <v>0</v>
      </c>
      <c r="G57" s="11">
        <f t="shared" si="9"/>
        <v>0</v>
      </c>
      <c r="H57" s="11">
        <f t="shared" si="10"/>
        <v>0</v>
      </c>
      <c r="I57" s="11">
        <v>0</v>
      </c>
      <c r="J57" s="11">
        <v>0</v>
      </c>
      <c r="K57" s="137">
        <f t="shared" si="11"/>
        <v>0</v>
      </c>
      <c r="L57" s="125"/>
      <c r="M57" s="110"/>
      <c r="N57" s="110"/>
      <c r="O57" s="111"/>
      <c r="P57" s="111"/>
      <c r="Q57" s="112"/>
      <c r="R57" s="112"/>
    </row>
    <row r="58" spans="1:18" s="15" customFormat="1" ht="34.5" customHeight="1" x14ac:dyDescent="0.35">
      <c r="A58" s="23">
        <v>3</v>
      </c>
      <c r="B58" s="14"/>
      <c r="C58" s="7" t="s">
        <v>130</v>
      </c>
      <c r="D58" s="13" t="s">
        <v>0</v>
      </c>
      <c r="E58" s="24">
        <v>157</v>
      </c>
      <c r="F58" s="130">
        <f t="shared" si="8"/>
        <v>0</v>
      </c>
      <c r="G58" s="11">
        <f t="shared" si="9"/>
        <v>0</v>
      </c>
      <c r="H58" s="11">
        <f t="shared" si="10"/>
        <v>0</v>
      </c>
      <c r="I58" s="11">
        <v>0</v>
      </c>
      <c r="J58" s="11">
        <v>0</v>
      </c>
      <c r="K58" s="137">
        <f t="shared" si="11"/>
        <v>0</v>
      </c>
      <c r="L58" s="125"/>
      <c r="M58" s="110"/>
      <c r="N58" s="110"/>
      <c r="O58" s="111"/>
      <c r="P58" s="111"/>
      <c r="Q58" s="112"/>
      <c r="R58" s="112"/>
    </row>
    <row r="59" spans="1:18" s="15" customFormat="1" ht="46.5" customHeight="1" x14ac:dyDescent="0.35">
      <c r="A59" s="23">
        <v>4</v>
      </c>
      <c r="B59" s="14"/>
      <c r="C59" s="7" t="s">
        <v>129</v>
      </c>
      <c r="D59" s="13" t="s">
        <v>0</v>
      </c>
      <c r="E59" s="24">
        <v>15</v>
      </c>
      <c r="F59" s="130">
        <f t="shared" si="8"/>
        <v>0</v>
      </c>
      <c r="G59" s="11">
        <f t="shared" si="9"/>
        <v>0</v>
      </c>
      <c r="H59" s="11">
        <f t="shared" si="10"/>
        <v>0</v>
      </c>
      <c r="I59" s="11">
        <v>0</v>
      </c>
      <c r="J59" s="11">
        <v>0</v>
      </c>
      <c r="K59" s="137">
        <f t="shared" si="11"/>
        <v>0</v>
      </c>
      <c r="L59" s="125"/>
      <c r="M59" s="110"/>
      <c r="N59" s="110"/>
      <c r="O59" s="111"/>
      <c r="P59" s="111"/>
      <c r="Q59" s="112"/>
      <c r="R59" s="112"/>
    </row>
    <row r="60" spans="1:18" s="15" customFormat="1" ht="47.25" customHeight="1" x14ac:dyDescent="0.35">
      <c r="A60" s="23">
        <v>5</v>
      </c>
      <c r="B60" s="8"/>
      <c r="C60" s="7" t="s">
        <v>128</v>
      </c>
      <c r="D60" s="13" t="s">
        <v>0</v>
      </c>
      <c r="E60" s="24">
        <v>69</v>
      </c>
      <c r="F60" s="130">
        <f t="shared" si="8"/>
        <v>0</v>
      </c>
      <c r="G60" s="11">
        <f t="shared" si="9"/>
        <v>0</v>
      </c>
      <c r="H60" s="11">
        <f t="shared" si="10"/>
        <v>0</v>
      </c>
      <c r="I60" s="11">
        <v>0</v>
      </c>
      <c r="J60" s="11">
        <v>0</v>
      </c>
      <c r="K60" s="137">
        <f t="shared" si="11"/>
        <v>0</v>
      </c>
      <c r="L60" s="125"/>
      <c r="M60" s="110"/>
      <c r="N60" s="110"/>
      <c r="O60" s="111"/>
      <c r="P60" s="111"/>
      <c r="Q60" s="112"/>
      <c r="R60" s="112"/>
    </row>
    <row r="61" spans="1:18" s="15" customFormat="1" ht="42.75" customHeight="1" x14ac:dyDescent="0.35">
      <c r="A61" s="23">
        <v>6</v>
      </c>
      <c r="B61" s="14"/>
      <c r="C61" s="7" t="s">
        <v>127</v>
      </c>
      <c r="D61" s="13" t="s">
        <v>0</v>
      </c>
      <c r="E61" s="24">
        <v>28</v>
      </c>
      <c r="F61" s="130">
        <f t="shared" si="8"/>
        <v>0</v>
      </c>
      <c r="G61" s="11">
        <f t="shared" si="9"/>
        <v>0</v>
      </c>
      <c r="H61" s="11">
        <f t="shared" si="10"/>
        <v>0</v>
      </c>
      <c r="I61" s="11">
        <v>0</v>
      </c>
      <c r="J61" s="11">
        <v>0</v>
      </c>
      <c r="K61" s="137">
        <f t="shared" si="11"/>
        <v>0</v>
      </c>
      <c r="L61" s="125"/>
      <c r="M61" s="110"/>
      <c r="N61" s="110"/>
      <c r="O61" s="111"/>
      <c r="P61" s="111"/>
      <c r="Q61" s="112"/>
      <c r="R61" s="112"/>
    </row>
    <row r="62" spans="1:18" s="15" customFormat="1" ht="60" customHeight="1" x14ac:dyDescent="0.35">
      <c r="A62" s="23">
        <v>7</v>
      </c>
      <c r="B62" s="14"/>
      <c r="C62" s="7" t="s">
        <v>126</v>
      </c>
      <c r="D62" s="13" t="s">
        <v>0</v>
      </c>
      <c r="E62" s="24">
        <v>18</v>
      </c>
      <c r="F62" s="130">
        <f t="shared" si="8"/>
        <v>0</v>
      </c>
      <c r="G62" s="11">
        <f t="shared" si="9"/>
        <v>0</v>
      </c>
      <c r="H62" s="11">
        <f t="shared" si="10"/>
        <v>0</v>
      </c>
      <c r="I62" s="11">
        <v>0</v>
      </c>
      <c r="J62" s="11">
        <v>0</v>
      </c>
      <c r="K62" s="137">
        <f t="shared" si="11"/>
        <v>0</v>
      </c>
      <c r="L62" s="125"/>
      <c r="M62" s="110"/>
      <c r="N62" s="110"/>
      <c r="O62" s="111"/>
      <c r="P62" s="111"/>
      <c r="Q62" s="112"/>
      <c r="R62" s="112"/>
    </row>
    <row r="63" spans="1:18" s="15" customFormat="1" ht="60" customHeight="1" x14ac:dyDescent="0.35">
      <c r="A63" s="23">
        <v>8</v>
      </c>
      <c r="B63" s="14"/>
      <c r="C63" s="7" t="s">
        <v>125</v>
      </c>
      <c r="D63" s="13" t="s">
        <v>0</v>
      </c>
      <c r="E63" s="24">
        <v>35</v>
      </c>
      <c r="F63" s="130">
        <f t="shared" si="8"/>
        <v>0</v>
      </c>
      <c r="G63" s="11">
        <f t="shared" si="9"/>
        <v>0</v>
      </c>
      <c r="H63" s="11">
        <f t="shared" si="10"/>
        <v>0</v>
      </c>
      <c r="I63" s="11">
        <v>0</v>
      </c>
      <c r="J63" s="11">
        <v>0</v>
      </c>
      <c r="K63" s="137">
        <f t="shared" si="11"/>
        <v>0</v>
      </c>
      <c r="L63" s="125"/>
      <c r="M63" s="110"/>
      <c r="N63" s="110"/>
      <c r="O63" s="111"/>
      <c r="P63" s="111"/>
      <c r="Q63" s="112"/>
      <c r="R63" s="112"/>
    </row>
    <row r="64" spans="1:18" s="15" customFormat="1" ht="33.75" customHeight="1" x14ac:dyDescent="0.35">
      <c r="A64" s="23">
        <v>9</v>
      </c>
      <c r="B64" s="14"/>
      <c r="C64" s="7" t="s">
        <v>124</v>
      </c>
      <c r="D64" s="13" t="s">
        <v>0</v>
      </c>
      <c r="E64" s="24">
        <v>43</v>
      </c>
      <c r="F64" s="130">
        <f t="shared" si="8"/>
        <v>0</v>
      </c>
      <c r="G64" s="11">
        <f t="shared" si="9"/>
        <v>0</v>
      </c>
      <c r="H64" s="11">
        <f t="shared" si="10"/>
        <v>0</v>
      </c>
      <c r="I64" s="11">
        <v>0</v>
      </c>
      <c r="J64" s="11">
        <v>0</v>
      </c>
      <c r="K64" s="137">
        <f t="shared" si="11"/>
        <v>0</v>
      </c>
      <c r="L64" s="125"/>
      <c r="M64" s="110"/>
      <c r="N64" s="110"/>
      <c r="O64" s="111"/>
      <c r="P64" s="111"/>
      <c r="Q64" s="112"/>
      <c r="R64" s="112"/>
    </row>
    <row r="65" spans="1:18" s="15" customFormat="1" ht="33" customHeight="1" x14ac:dyDescent="0.35">
      <c r="A65" s="23">
        <v>10</v>
      </c>
      <c r="B65" s="14"/>
      <c r="C65" s="7" t="s">
        <v>123</v>
      </c>
      <c r="D65" s="13" t="s">
        <v>0</v>
      </c>
      <c r="E65" s="24">
        <v>62</v>
      </c>
      <c r="F65" s="130">
        <f t="shared" si="8"/>
        <v>0</v>
      </c>
      <c r="G65" s="11">
        <f t="shared" si="9"/>
        <v>0</v>
      </c>
      <c r="H65" s="11">
        <f t="shared" si="10"/>
        <v>0</v>
      </c>
      <c r="I65" s="11">
        <v>0</v>
      </c>
      <c r="J65" s="11">
        <v>0</v>
      </c>
      <c r="K65" s="137">
        <f t="shared" si="11"/>
        <v>0</v>
      </c>
      <c r="L65" s="125"/>
      <c r="M65" s="110"/>
      <c r="N65" s="110"/>
      <c r="O65" s="111"/>
      <c r="P65" s="111"/>
      <c r="Q65" s="112"/>
      <c r="R65" s="112"/>
    </row>
    <row r="66" spans="1:18" s="15" customFormat="1" ht="46.5" customHeight="1" x14ac:dyDescent="0.35">
      <c r="A66" s="23">
        <v>11</v>
      </c>
      <c r="B66" s="14"/>
      <c r="C66" s="7" t="s">
        <v>122</v>
      </c>
      <c r="D66" s="13" t="s">
        <v>0</v>
      </c>
      <c r="E66" s="24">
        <v>183</v>
      </c>
      <c r="F66" s="130">
        <f t="shared" si="8"/>
        <v>0</v>
      </c>
      <c r="G66" s="11">
        <f t="shared" si="9"/>
        <v>0</v>
      </c>
      <c r="H66" s="11">
        <f t="shared" si="10"/>
        <v>0</v>
      </c>
      <c r="I66" s="11">
        <v>0</v>
      </c>
      <c r="J66" s="11">
        <v>0</v>
      </c>
      <c r="K66" s="137">
        <f t="shared" si="11"/>
        <v>0</v>
      </c>
      <c r="L66" s="125"/>
      <c r="M66" s="110"/>
      <c r="N66" s="110"/>
      <c r="O66" s="111"/>
      <c r="P66" s="111"/>
      <c r="Q66" s="112"/>
      <c r="R66" s="112"/>
    </row>
    <row r="67" spans="1:18" s="15" customFormat="1" ht="61.5" customHeight="1" x14ac:dyDescent="0.35">
      <c r="A67" s="23">
        <v>12</v>
      </c>
      <c r="B67" s="14"/>
      <c r="C67" s="7" t="s">
        <v>121</v>
      </c>
      <c r="D67" s="13" t="s">
        <v>0</v>
      </c>
      <c r="E67" s="24">
        <v>43</v>
      </c>
      <c r="F67" s="130">
        <f t="shared" si="8"/>
        <v>0</v>
      </c>
      <c r="G67" s="11">
        <f t="shared" si="9"/>
        <v>0</v>
      </c>
      <c r="H67" s="11">
        <f t="shared" si="10"/>
        <v>0</v>
      </c>
      <c r="I67" s="11">
        <v>0</v>
      </c>
      <c r="J67" s="11">
        <v>0</v>
      </c>
      <c r="K67" s="137">
        <f t="shared" si="11"/>
        <v>0</v>
      </c>
      <c r="L67" s="125"/>
      <c r="M67" s="110"/>
      <c r="N67" s="110"/>
      <c r="O67" s="111"/>
      <c r="P67" s="111"/>
      <c r="Q67" s="112"/>
      <c r="R67" s="112"/>
    </row>
    <row r="68" spans="1:18" s="15" customFormat="1" ht="42.5" x14ac:dyDescent="0.35">
      <c r="A68" s="23">
        <v>13</v>
      </c>
      <c r="B68" s="14"/>
      <c r="C68" s="7" t="s">
        <v>120</v>
      </c>
      <c r="D68" s="13" t="s">
        <v>0</v>
      </c>
      <c r="E68" s="24">
        <v>19</v>
      </c>
      <c r="F68" s="130">
        <f t="shared" si="8"/>
        <v>0</v>
      </c>
      <c r="G68" s="11">
        <f t="shared" si="9"/>
        <v>0</v>
      </c>
      <c r="H68" s="11">
        <f t="shared" si="10"/>
        <v>0</v>
      </c>
      <c r="I68" s="11">
        <v>0</v>
      </c>
      <c r="J68" s="11">
        <v>0</v>
      </c>
      <c r="K68" s="137">
        <f t="shared" si="11"/>
        <v>0</v>
      </c>
      <c r="L68" s="125"/>
      <c r="M68" s="110"/>
      <c r="N68" s="110"/>
      <c r="O68" s="111"/>
      <c r="P68" s="111"/>
      <c r="Q68" s="112"/>
      <c r="R68" s="112"/>
    </row>
    <row r="69" spans="1:18" s="15" customFormat="1" ht="42.5" x14ac:dyDescent="0.35">
      <c r="A69" s="23">
        <v>14</v>
      </c>
      <c r="B69" s="14"/>
      <c r="C69" s="7" t="s">
        <v>119</v>
      </c>
      <c r="D69" s="13" t="s">
        <v>0</v>
      </c>
      <c r="E69" s="24">
        <v>92</v>
      </c>
      <c r="F69" s="130">
        <f t="shared" si="8"/>
        <v>0</v>
      </c>
      <c r="G69" s="11">
        <f t="shared" si="9"/>
        <v>0</v>
      </c>
      <c r="H69" s="11">
        <f t="shared" si="10"/>
        <v>0</v>
      </c>
      <c r="I69" s="11">
        <v>0</v>
      </c>
      <c r="J69" s="11">
        <v>0</v>
      </c>
      <c r="K69" s="137">
        <f t="shared" si="11"/>
        <v>0</v>
      </c>
      <c r="L69" s="125"/>
      <c r="M69" s="110"/>
      <c r="N69" s="110"/>
      <c r="O69" s="111"/>
      <c r="P69" s="111"/>
      <c r="Q69" s="112"/>
      <c r="R69" s="112"/>
    </row>
    <row r="70" spans="1:18" s="15" customFormat="1" ht="42.5" x14ac:dyDescent="0.35">
      <c r="A70" s="23">
        <v>15</v>
      </c>
      <c r="B70" s="14"/>
      <c r="C70" s="7" t="s">
        <v>118</v>
      </c>
      <c r="D70" s="13" t="s">
        <v>0</v>
      </c>
      <c r="E70" s="24">
        <v>6</v>
      </c>
      <c r="F70" s="130">
        <f t="shared" si="8"/>
        <v>0</v>
      </c>
      <c r="G70" s="11">
        <f t="shared" si="9"/>
        <v>0</v>
      </c>
      <c r="H70" s="11">
        <f t="shared" si="10"/>
        <v>0</v>
      </c>
      <c r="I70" s="11">
        <v>0</v>
      </c>
      <c r="J70" s="11">
        <v>0</v>
      </c>
      <c r="K70" s="137">
        <f t="shared" si="11"/>
        <v>0</v>
      </c>
      <c r="L70" s="125"/>
      <c r="M70" s="110"/>
      <c r="N70" s="110"/>
      <c r="O70" s="111"/>
      <c r="P70" s="111"/>
      <c r="Q70" s="112"/>
      <c r="R70" s="112"/>
    </row>
    <row r="71" spans="1:18" s="15" customFormat="1" ht="42.5" x14ac:dyDescent="0.35">
      <c r="A71" s="23">
        <v>16</v>
      </c>
      <c r="B71" s="8"/>
      <c r="C71" s="7" t="s">
        <v>117</v>
      </c>
      <c r="D71" s="8" t="s">
        <v>0</v>
      </c>
      <c r="E71" s="24">
        <v>57</v>
      </c>
      <c r="F71" s="130">
        <f t="shared" si="8"/>
        <v>0</v>
      </c>
      <c r="G71" s="11">
        <f t="shared" si="9"/>
        <v>0</v>
      </c>
      <c r="H71" s="11">
        <f t="shared" si="10"/>
        <v>0</v>
      </c>
      <c r="I71" s="11">
        <v>0</v>
      </c>
      <c r="J71" s="11">
        <v>0</v>
      </c>
      <c r="K71" s="137">
        <f t="shared" si="11"/>
        <v>0</v>
      </c>
      <c r="L71" s="125"/>
      <c r="M71" s="110"/>
      <c r="N71" s="110"/>
      <c r="O71" s="111"/>
      <c r="P71" s="111"/>
      <c r="Q71" s="112"/>
      <c r="R71" s="112"/>
    </row>
    <row r="72" spans="1:18" s="15" customFormat="1" ht="18" x14ac:dyDescent="0.35">
      <c r="A72" s="23">
        <v>17</v>
      </c>
      <c r="B72" s="14"/>
      <c r="C72" s="7" t="s">
        <v>116</v>
      </c>
      <c r="D72" s="13" t="s">
        <v>55</v>
      </c>
      <c r="E72" s="12">
        <v>1</v>
      </c>
      <c r="F72" s="130">
        <f t="shared" si="8"/>
        <v>0</v>
      </c>
      <c r="G72" s="11">
        <f t="shared" si="9"/>
        <v>0</v>
      </c>
      <c r="H72" s="11">
        <f t="shared" si="10"/>
        <v>0</v>
      </c>
      <c r="I72" s="11">
        <v>0</v>
      </c>
      <c r="J72" s="11">
        <v>0</v>
      </c>
      <c r="K72" s="137">
        <f t="shared" si="11"/>
        <v>0</v>
      </c>
      <c r="L72" s="125"/>
      <c r="M72" s="110"/>
      <c r="N72" s="110"/>
      <c r="O72" s="111"/>
      <c r="P72" s="111"/>
      <c r="Q72" s="112"/>
      <c r="R72" s="112"/>
    </row>
    <row r="73" spans="1:18" s="15" customFormat="1" ht="18" x14ac:dyDescent="0.35">
      <c r="A73" s="23">
        <v>18</v>
      </c>
      <c r="B73" s="14"/>
      <c r="C73" s="7" t="s">
        <v>115</v>
      </c>
      <c r="D73" s="13" t="s">
        <v>55</v>
      </c>
      <c r="E73" s="12">
        <v>1</v>
      </c>
      <c r="F73" s="130">
        <f t="shared" si="8"/>
        <v>0</v>
      </c>
      <c r="G73" s="11">
        <f t="shared" si="9"/>
        <v>0</v>
      </c>
      <c r="H73" s="11">
        <f t="shared" si="10"/>
        <v>0</v>
      </c>
      <c r="I73" s="11">
        <v>0</v>
      </c>
      <c r="J73" s="11">
        <v>0</v>
      </c>
      <c r="K73" s="137">
        <f t="shared" si="11"/>
        <v>0</v>
      </c>
      <c r="L73" s="125"/>
      <c r="M73" s="110"/>
      <c r="N73" s="110"/>
      <c r="O73" s="111"/>
      <c r="P73" s="111"/>
      <c r="Q73" s="112"/>
      <c r="R73" s="112"/>
    </row>
    <row r="74" spans="1:18" s="15" customFormat="1" ht="18" customHeight="1" x14ac:dyDescent="0.35">
      <c r="A74" s="160" t="s">
        <v>114</v>
      </c>
      <c r="B74" s="160"/>
      <c r="C74" s="160"/>
      <c r="D74" s="160"/>
      <c r="E74" s="161"/>
      <c r="F74" s="140"/>
      <c r="G74" s="140"/>
      <c r="H74" s="140"/>
      <c r="I74" s="140"/>
      <c r="J74" s="140"/>
      <c r="K74" s="140">
        <f>SUM(K56:K73)</f>
        <v>0</v>
      </c>
      <c r="L74" s="125"/>
      <c r="M74" s="110"/>
      <c r="N74" s="110"/>
      <c r="O74" s="111"/>
      <c r="P74" s="111"/>
      <c r="Q74" s="112"/>
      <c r="R74" s="112"/>
    </row>
    <row r="75" spans="1:18" s="15" customFormat="1" ht="18" x14ac:dyDescent="0.35">
      <c r="A75" s="16"/>
      <c r="B75" s="16"/>
      <c r="C75" s="16"/>
      <c r="D75" s="16"/>
      <c r="E75" s="16"/>
      <c r="F75" s="140"/>
      <c r="G75" s="140"/>
      <c r="H75" s="140"/>
      <c r="I75" s="140"/>
      <c r="J75" s="140"/>
      <c r="K75" s="140"/>
      <c r="L75" s="125"/>
      <c r="M75" s="110"/>
      <c r="N75" s="110"/>
      <c r="O75" s="111"/>
      <c r="P75" s="111"/>
      <c r="Q75" s="112"/>
      <c r="R75" s="112"/>
    </row>
    <row r="76" spans="1:18" s="15" customFormat="1" ht="18" x14ac:dyDescent="0.35">
      <c r="A76" s="163" t="s">
        <v>113</v>
      </c>
      <c r="B76" s="163"/>
      <c r="C76" s="163"/>
      <c r="D76" s="163"/>
      <c r="E76" s="164"/>
      <c r="F76" s="140"/>
      <c r="G76" s="140"/>
      <c r="H76" s="140"/>
      <c r="I76" s="140"/>
      <c r="J76" s="140"/>
      <c r="K76" s="140"/>
      <c r="L76" s="125"/>
      <c r="M76" s="110"/>
      <c r="N76" s="110"/>
      <c r="O76" s="111"/>
      <c r="P76" s="111"/>
      <c r="Q76" s="112"/>
      <c r="R76" s="112"/>
    </row>
    <row r="77" spans="1:18" s="15" customFormat="1" ht="18.75" customHeight="1" x14ac:dyDescent="0.35">
      <c r="A77" s="10" t="s">
        <v>6</v>
      </c>
      <c r="B77" s="10"/>
      <c r="C77" s="10" t="s">
        <v>5</v>
      </c>
      <c r="D77" s="10" t="s">
        <v>4</v>
      </c>
      <c r="E77" s="9" t="s">
        <v>3</v>
      </c>
      <c r="F77" s="141" t="s">
        <v>2</v>
      </c>
      <c r="G77" s="141"/>
      <c r="H77" s="141"/>
      <c r="I77" s="141"/>
      <c r="J77" s="141"/>
      <c r="K77" s="141" t="s">
        <v>1</v>
      </c>
      <c r="L77" s="125"/>
      <c r="M77" s="110"/>
      <c r="N77" s="110"/>
      <c r="O77" s="111"/>
      <c r="P77" s="111"/>
      <c r="Q77" s="112"/>
      <c r="R77" s="112"/>
    </row>
    <row r="78" spans="1:18" s="15" customFormat="1" ht="18" x14ac:dyDescent="0.35">
      <c r="A78" s="13">
        <v>1</v>
      </c>
      <c r="B78" s="13"/>
      <c r="C78" s="7" t="s">
        <v>112</v>
      </c>
      <c r="D78" s="8" t="s">
        <v>10</v>
      </c>
      <c r="E78" s="12">
        <v>100</v>
      </c>
      <c r="F78" s="130">
        <f t="shared" ref="F78:F108" si="12">G78+H78+I78+J78</f>
        <v>0</v>
      </c>
      <c r="G78" s="11">
        <f t="shared" ref="G78:G108" si="13">O78</f>
        <v>0</v>
      </c>
      <c r="H78" s="11">
        <f t="shared" ref="H78:H108" si="14">Q78</f>
        <v>0</v>
      </c>
      <c r="I78" s="11">
        <v>0</v>
      </c>
      <c r="J78" s="11">
        <v>0</v>
      </c>
      <c r="K78" s="137">
        <f t="shared" ref="K78:K108" si="15">F78*E78</f>
        <v>0</v>
      </c>
      <c r="L78" s="125"/>
      <c r="M78" s="110"/>
      <c r="N78" s="110"/>
      <c r="O78" s="111"/>
      <c r="P78" s="111"/>
      <c r="Q78" s="112"/>
      <c r="R78" s="112"/>
    </row>
    <row r="79" spans="1:18" s="15" customFormat="1" ht="18" x14ac:dyDescent="0.35">
      <c r="A79" s="13">
        <v>2</v>
      </c>
      <c r="B79" s="8"/>
      <c r="C79" s="7" t="s">
        <v>111</v>
      </c>
      <c r="D79" s="8" t="s">
        <v>10</v>
      </c>
      <c r="E79" s="12">
        <v>290</v>
      </c>
      <c r="F79" s="130">
        <f t="shared" si="12"/>
        <v>0</v>
      </c>
      <c r="G79" s="11">
        <f t="shared" si="13"/>
        <v>0</v>
      </c>
      <c r="H79" s="11">
        <f t="shared" si="14"/>
        <v>0</v>
      </c>
      <c r="I79" s="11">
        <v>0</v>
      </c>
      <c r="J79" s="11">
        <v>0</v>
      </c>
      <c r="K79" s="137">
        <f t="shared" si="15"/>
        <v>0</v>
      </c>
      <c r="L79" s="125"/>
      <c r="M79" s="110"/>
      <c r="N79" s="110"/>
      <c r="O79" s="111"/>
      <c r="P79" s="111"/>
      <c r="Q79" s="112"/>
      <c r="R79" s="112"/>
    </row>
    <row r="80" spans="1:18" s="15" customFormat="1" ht="18" x14ac:dyDescent="0.35">
      <c r="A80" s="13">
        <v>3</v>
      </c>
      <c r="B80" s="14"/>
      <c r="C80" s="7" t="s">
        <v>110</v>
      </c>
      <c r="D80" s="8" t="s">
        <v>10</v>
      </c>
      <c r="E80" s="12">
        <v>90</v>
      </c>
      <c r="F80" s="130">
        <f t="shared" si="12"/>
        <v>0</v>
      </c>
      <c r="G80" s="11">
        <f t="shared" si="13"/>
        <v>0</v>
      </c>
      <c r="H80" s="11">
        <f t="shared" si="14"/>
        <v>0</v>
      </c>
      <c r="I80" s="11">
        <v>0</v>
      </c>
      <c r="J80" s="11">
        <v>0</v>
      </c>
      <c r="K80" s="137">
        <f t="shared" si="15"/>
        <v>0</v>
      </c>
      <c r="L80" s="125"/>
      <c r="M80" s="110"/>
      <c r="N80" s="110"/>
      <c r="O80" s="111"/>
      <c r="P80" s="111"/>
      <c r="Q80" s="112"/>
      <c r="R80" s="112"/>
    </row>
    <row r="81" spans="1:18" s="15" customFormat="1" ht="18" x14ac:dyDescent="0.35">
      <c r="A81" s="13">
        <v>4</v>
      </c>
      <c r="B81" s="7"/>
      <c r="C81" s="7" t="s">
        <v>109</v>
      </c>
      <c r="D81" s="8" t="s">
        <v>10</v>
      </c>
      <c r="E81" s="12">
        <v>240</v>
      </c>
      <c r="F81" s="130">
        <f t="shared" si="12"/>
        <v>0</v>
      </c>
      <c r="G81" s="11">
        <f t="shared" si="13"/>
        <v>0</v>
      </c>
      <c r="H81" s="11">
        <f t="shared" si="14"/>
        <v>0</v>
      </c>
      <c r="I81" s="11">
        <v>0</v>
      </c>
      <c r="J81" s="11">
        <v>0</v>
      </c>
      <c r="K81" s="137">
        <f t="shared" si="15"/>
        <v>0</v>
      </c>
      <c r="L81" s="125"/>
      <c r="M81" s="110"/>
      <c r="N81" s="110"/>
      <c r="O81" s="111"/>
      <c r="P81" s="111"/>
      <c r="Q81" s="112"/>
      <c r="R81" s="112"/>
    </row>
    <row r="82" spans="1:18" s="15" customFormat="1" ht="18" x14ac:dyDescent="0.35">
      <c r="A82" s="13">
        <v>5</v>
      </c>
      <c r="B82" s="8"/>
      <c r="C82" s="7" t="s">
        <v>108</v>
      </c>
      <c r="D82" s="8" t="s">
        <v>10</v>
      </c>
      <c r="E82" s="12">
        <v>70</v>
      </c>
      <c r="F82" s="130">
        <f t="shared" si="12"/>
        <v>0</v>
      </c>
      <c r="G82" s="11">
        <f t="shared" si="13"/>
        <v>0</v>
      </c>
      <c r="H82" s="11">
        <f t="shared" si="14"/>
        <v>0</v>
      </c>
      <c r="I82" s="11">
        <v>0</v>
      </c>
      <c r="J82" s="11">
        <v>0</v>
      </c>
      <c r="K82" s="137">
        <f t="shared" si="15"/>
        <v>0</v>
      </c>
      <c r="L82" s="125"/>
      <c r="M82" s="110"/>
      <c r="N82" s="110"/>
      <c r="O82" s="111"/>
      <c r="P82" s="111"/>
      <c r="Q82" s="112"/>
      <c r="R82" s="112"/>
    </row>
    <row r="83" spans="1:18" s="15" customFormat="1" ht="18" x14ac:dyDescent="0.35">
      <c r="A83" s="13">
        <v>6</v>
      </c>
      <c r="B83" s="14"/>
      <c r="C83" s="7" t="s">
        <v>107</v>
      </c>
      <c r="D83" s="13" t="s">
        <v>10</v>
      </c>
      <c r="E83" s="12">
        <v>170</v>
      </c>
      <c r="F83" s="130">
        <f t="shared" si="12"/>
        <v>0</v>
      </c>
      <c r="G83" s="11">
        <f t="shared" si="13"/>
        <v>0</v>
      </c>
      <c r="H83" s="11">
        <f t="shared" si="14"/>
        <v>0</v>
      </c>
      <c r="I83" s="11">
        <v>0</v>
      </c>
      <c r="J83" s="11">
        <v>0</v>
      </c>
      <c r="K83" s="137">
        <f t="shared" si="15"/>
        <v>0</v>
      </c>
      <c r="L83" s="125"/>
      <c r="M83" s="110"/>
      <c r="N83" s="110"/>
      <c r="O83" s="111"/>
      <c r="P83" s="111"/>
      <c r="Q83" s="112"/>
      <c r="R83" s="112"/>
    </row>
    <row r="84" spans="1:18" s="15" customFormat="1" ht="18" x14ac:dyDescent="0.35">
      <c r="A84" s="13">
        <v>7</v>
      </c>
      <c r="B84" s="14"/>
      <c r="C84" s="7" t="s">
        <v>106</v>
      </c>
      <c r="D84" s="13" t="s">
        <v>10</v>
      </c>
      <c r="E84" s="12">
        <v>100</v>
      </c>
      <c r="F84" s="130">
        <f t="shared" si="12"/>
        <v>0</v>
      </c>
      <c r="G84" s="11">
        <f t="shared" si="13"/>
        <v>0</v>
      </c>
      <c r="H84" s="11">
        <f t="shared" si="14"/>
        <v>0</v>
      </c>
      <c r="I84" s="11">
        <v>0</v>
      </c>
      <c r="J84" s="11">
        <v>0</v>
      </c>
      <c r="K84" s="137">
        <f t="shared" si="15"/>
        <v>0</v>
      </c>
      <c r="L84" s="125"/>
      <c r="M84" s="110"/>
      <c r="N84" s="110"/>
      <c r="O84" s="111"/>
      <c r="P84" s="111"/>
      <c r="Q84" s="112"/>
      <c r="R84" s="112"/>
    </row>
    <row r="85" spans="1:18" s="15" customFormat="1" ht="18" x14ac:dyDescent="0.35">
      <c r="A85" s="13">
        <v>8</v>
      </c>
      <c r="B85" s="14"/>
      <c r="C85" s="7" t="s">
        <v>105</v>
      </c>
      <c r="D85" s="13" t="s">
        <v>10</v>
      </c>
      <c r="E85" s="12">
        <v>170</v>
      </c>
      <c r="F85" s="130">
        <f t="shared" si="12"/>
        <v>0</v>
      </c>
      <c r="G85" s="11">
        <f t="shared" si="13"/>
        <v>0</v>
      </c>
      <c r="H85" s="11">
        <f t="shared" si="14"/>
        <v>0</v>
      </c>
      <c r="I85" s="11">
        <v>0</v>
      </c>
      <c r="J85" s="11">
        <v>0</v>
      </c>
      <c r="K85" s="137">
        <f t="shared" si="15"/>
        <v>0</v>
      </c>
      <c r="L85" s="125"/>
      <c r="M85" s="110"/>
      <c r="N85" s="110"/>
      <c r="O85" s="111"/>
      <c r="P85" s="111"/>
      <c r="Q85" s="112"/>
      <c r="R85" s="112"/>
    </row>
    <row r="86" spans="1:18" s="15" customFormat="1" ht="18" x14ac:dyDescent="0.35">
      <c r="A86" s="13">
        <v>9</v>
      </c>
      <c r="B86" s="14"/>
      <c r="C86" s="7" t="s">
        <v>104</v>
      </c>
      <c r="D86" s="13" t="s">
        <v>10</v>
      </c>
      <c r="E86" s="12">
        <v>130</v>
      </c>
      <c r="F86" s="130">
        <f t="shared" si="12"/>
        <v>0</v>
      </c>
      <c r="G86" s="11">
        <f t="shared" si="13"/>
        <v>0</v>
      </c>
      <c r="H86" s="11">
        <f t="shared" si="14"/>
        <v>0</v>
      </c>
      <c r="I86" s="11">
        <v>0</v>
      </c>
      <c r="J86" s="11">
        <v>0</v>
      </c>
      <c r="K86" s="137">
        <f t="shared" si="15"/>
        <v>0</v>
      </c>
      <c r="L86" s="125"/>
      <c r="M86" s="110"/>
      <c r="N86" s="110"/>
      <c r="O86" s="111"/>
      <c r="P86" s="111"/>
      <c r="Q86" s="112"/>
      <c r="R86" s="112"/>
    </row>
    <row r="87" spans="1:18" s="15" customFormat="1" ht="18" x14ac:dyDescent="0.35">
      <c r="A87" s="13">
        <v>10</v>
      </c>
      <c r="B87" s="14"/>
      <c r="C87" s="7" t="s">
        <v>103</v>
      </c>
      <c r="D87" s="13" t="s">
        <v>10</v>
      </c>
      <c r="E87" s="12">
        <v>310</v>
      </c>
      <c r="F87" s="130">
        <f t="shared" si="12"/>
        <v>0</v>
      </c>
      <c r="G87" s="11">
        <f t="shared" si="13"/>
        <v>0</v>
      </c>
      <c r="H87" s="11">
        <f t="shared" si="14"/>
        <v>0</v>
      </c>
      <c r="I87" s="11">
        <v>0</v>
      </c>
      <c r="J87" s="11">
        <v>0</v>
      </c>
      <c r="K87" s="137">
        <f t="shared" si="15"/>
        <v>0</v>
      </c>
      <c r="L87" s="125"/>
      <c r="M87" s="110"/>
      <c r="N87" s="110"/>
      <c r="O87" s="111"/>
      <c r="P87" s="111"/>
      <c r="Q87" s="112"/>
      <c r="R87" s="112"/>
    </row>
    <row r="88" spans="1:18" s="15" customFormat="1" ht="18" x14ac:dyDescent="0.35">
      <c r="A88" s="13">
        <v>11</v>
      </c>
      <c r="B88" s="14"/>
      <c r="C88" s="7" t="s">
        <v>102</v>
      </c>
      <c r="D88" s="13" t="s">
        <v>10</v>
      </c>
      <c r="E88" s="12">
        <v>340</v>
      </c>
      <c r="F88" s="130">
        <f t="shared" si="12"/>
        <v>0</v>
      </c>
      <c r="G88" s="11">
        <f t="shared" si="13"/>
        <v>0</v>
      </c>
      <c r="H88" s="11">
        <f t="shared" si="14"/>
        <v>0</v>
      </c>
      <c r="I88" s="11">
        <v>0</v>
      </c>
      <c r="J88" s="11">
        <v>0</v>
      </c>
      <c r="K88" s="137">
        <f t="shared" si="15"/>
        <v>0</v>
      </c>
      <c r="L88" s="125"/>
      <c r="M88" s="110"/>
      <c r="N88" s="110"/>
      <c r="O88" s="111"/>
      <c r="P88" s="111"/>
      <c r="Q88" s="112"/>
      <c r="R88" s="112"/>
    </row>
    <row r="89" spans="1:18" s="15" customFormat="1" ht="18" x14ac:dyDescent="0.35">
      <c r="A89" s="13">
        <v>12</v>
      </c>
      <c r="B89" s="14"/>
      <c r="C89" s="7" t="s">
        <v>101</v>
      </c>
      <c r="D89" s="13" t="s">
        <v>10</v>
      </c>
      <c r="E89" s="12">
        <v>700</v>
      </c>
      <c r="F89" s="130">
        <f t="shared" si="12"/>
        <v>0</v>
      </c>
      <c r="G89" s="11">
        <f t="shared" si="13"/>
        <v>0</v>
      </c>
      <c r="H89" s="11">
        <f t="shared" si="14"/>
        <v>0</v>
      </c>
      <c r="I89" s="11">
        <v>0</v>
      </c>
      <c r="J89" s="11">
        <v>0</v>
      </c>
      <c r="K89" s="137">
        <f t="shared" si="15"/>
        <v>0</v>
      </c>
      <c r="L89" s="125"/>
      <c r="M89" s="110"/>
      <c r="N89" s="110"/>
      <c r="O89" s="111"/>
      <c r="P89" s="111"/>
      <c r="Q89" s="112"/>
      <c r="R89" s="112"/>
    </row>
    <row r="90" spans="1:18" s="15" customFormat="1" ht="18" x14ac:dyDescent="0.35">
      <c r="A90" s="13">
        <v>13</v>
      </c>
      <c r="B90" s="14"/>
      <c r="C90" s="7" t="s">
        <v>100</v>
      </c>
      <c r="D90" s="13" t="s">
        <v>10</v>
      </c>
      <c r="E90" s="12">
        <v>7000</v>
      </c>
      <c r="F90" s="130">
        <f t="shared" si="12"/>
        <v>0</v>
      </c>
      <c r="G90" s="11">
        <f t="shared" si="13"/>
        <v>0</v>
      </c>
      <c r="H90" s="11">
        <f t="shared" si="14"/>
        <v>0</v>
      </c>
      <c r="I90" s="11">
        <v>0</v>
      </c>
      <c r="J90" s="11">
        <v>0</v>
      </c>
      <c r="K90" s="137">
        <f t="shared" si="15"/>
        <v>0</v>
      </c>
      <c r="L90" s="125"/>
      <c r="M90" s="110"/>
      <c r="N90" s="110"/>
      <c r="O90" s="111"/>
      <c r="P90" s="111"/>
      <c r="Q90" s="112"/>
      <c r="R90" s="112"/>
    </row>
    <row r="91" spans="1:18" s="15" customFormat="1" ht="18" x14ac:dyDescent="0.35">
      <c r="A91" s="13">
        <v>14</v>
      </c>
      <c r="B91" s="14"/>
      <c r="C91" s="7" t="s">
        <v>99</v>
      </c>
      <c r="D91" s="13" t="s">
        <v>10</v>
      </c>
      <c r="E91" s="12">
        <v>11000</v>
      </c>
      <c r="F91" s="130">
        <f t="shared" si="12"/>
        <v>0</v>
      </c>
      <c r="G91" s="11">
        <f t="shared" si="13"/>
        <v>0</v>
      </c>
      <c r="H91" s="11">
        <f t="shared" si="14"/>
        <v>0</v>
      </c>
      <c r="I91" s="11">
        <v>0</v>
      </c>
      <c r="J91" s="11">
        <v>0</v>
      </c>
      <c r="K91" s="137">
        <f t="shared" si="15"/>
        <v>0</v>
      </c>
      <c r="L91" s="125"/>
      <c r="M91" s="110"/>
      <c r="N91" s="110"/>
      <c r="O91" s="111"/>
      <c r="P91" s="111"/>
      <c r="Q91" s="112"/>
      <c r="R91" s="112"/>
    </row>
    <row r="92" spans="1:18" s="15" customFormat="1" ht="18" x14ac:dyDescent="0.35">
      <c r="A92" s="13">
        <v>15</v>
      </c>
      <c r="B92" s="14"/>
      <c r="C92" s="7" t="s">
        <v>98</v>
      </c>
      <c r="D92" s="13" t="s">
        <v>10</v>
      </c>
      <c r="E92" s="12">
        <v>600</v>
      </c>
      <c r="F92" s="130">
        <f t="shared" si="12"/>
        <v>0</v>
      </c>
      <c r="G92" s="11">
        <f t="shared" si="13"/>
        <v>0</v>
      </c>
      <c r="H92" s="11">
        <f t="shared" si="14"/>
        <v>0</v>
      </c>
      <c r="I92" s="11">
        <v>0</v>
      </c>
      <c r="J92" s="11">
        <v>0</v>
      </c>
      <c r="K92" s="137">
        <f t="shared" si="15"/>
        <v>0</v>
      </c>
      <c r="L92" s="125"/>
      <c r="M92" s="110"/>
      <c r="N92" s="110"/>
      <c r="O92" s="111"/>
      <c r="P92" s="111"/>
      <c r="Q92" s="112"/>
      <c r="R92" s="112"/>
    </row>
    <row r="93" spans="1:18" s="15" customFormat="1" ht="28.5" x14ac:dyDescent="0.35">
      <c r="A93" s="13">
        <v>16</v>
      </c>
      <c r="B93" s="14"/>
      <c r="C93" s="7" t="s">
        <v>97</v>
      </c>
      <c r="D93" s="13" t="s">
        <v>10</v>
      </c>
      <c r="E93" s="12">
        <v>700</v>
      </c>
      <c r="F93" s="130">
        <f t="shared" si="12"/>
        <v>0</v>
      </c>
      <c r="G93" s="11">
        <f t="shared" si="13"/>
        <v>0</v>
      </c>
      <c r="H93" s="11">
        <f t="shared" si="14"/>
        <v>0</v>
      </c>
      <c r="I93" s="11">
        <v>0</v>
      </c>
      <c r="J93" s="11">
        <v>0</v>
      </c>
      <c r="K93" s="137">
        <f t="shared" si="15"/>
        <v>0</v>
      </c>
      <c r="L93" s="125"/>
      <c r="M93" s="110"/>
      <c r="N93" s="110"/>
      <c r="O93" s="111"/>
      <c r="P93" s="111"/>
      <c r="Q93" s="112"/>
      <c r="R93" s="112"/>
    </row>
    <row r="94" spans="1:18" s="15" customFormat="1" ht="28.5" x14ac:dyDescent="0.35">
      <c r="A94" s="13">
        <v>17</v>
      </c>
      <c r="B94" s="14"/>
      <c r="C94" s="7" t="s">
        <v>96</v>
      </c>
      <c r="D94" s="13" t="s">
        <v>10</v>
      </c>
      <c r="E94" s="12">
        <v>100</v>
      </c>
      <c r="F94" s="130">
        <f t="shared" si="12"/>
        <v>0</v>
      </c>
      <c r="G94" s="11">
        <f t="shared" si="13"/>
        <v>0</v>
      </c>
      <c r="H94" s="11">
        <f t="shared" si="14"/>
        <v>0</v>
      </c>
      <c r="I94" s="11">
        <v>0</v>
      </c>
      <c r="J94" s="11">
        <v>0</v>
      </c>
      <c r="K94" s="137">
        <f t="shared" si="15"/>
        <v>0</v>
      </c>
      <c r="L94" s="125"/>
      <c r="M94" s="110"/>
      <c r="N94" s="110"/>
      <c r="O94" s="111"/>
      <c r="P94" s="111"/>
      <c r="Q94" s="112"/>
      <c r="R94" s="112"/>
    </row>
    <row r="95" spans="1:18" s="15" customFormat="1" ht="28.5" x14ac:dyDescent="0.35">
      <c r="A95" s="13">
        <v>18</v>
      </c>
      <c r="B95" s="14"/>
      <c r="C95" s="7" t="s">
        <v>95</v>
      </c>
      <c r="D95" s="8" t="s">
        <v>10</v>
      </c>
      <c r="E95" s="12">
        <v>150</v>
      </c>
      <c r="F95" s="130">
        <f t="shared" si="12"/>
        <v>0</v>
      </c>
      <c r="G95" s="11">
        <f t="shared" si="13"/>
        <v>0</v>
      </c>
      <c r="H95" s="11">
        <f t="shared" si="14"/>
        <v>0</v>
      </c>
      <c r="I95" s="11">
        <v>0</v>
      </c>
      <c r="J95" s="11">
        <v>0</v>
      </c>
      <c r="K95" s="137">
        <f t="shared" si="15"/>
        <v>0</v>
      </c>
      <c r="L95" s="125"/>
      <c r="M95" s="110"/>
      <c r="N95" s="110"/>
      <c r="O95" s="111"/>
      <c r="P95" s="111"/>
      <c r="Q95" s="112"/>
      <c r="R95" s="112"/>
    </row>
    <row r="96" spans="1:18" s="15" customFormat="1" ht="32.25" customHeight="1" x14ac:dyDescent="0.35">
      <c r="A96" s="13">
        <v>19</v>
      </c>
      <c r="B96" s="14"/>
      <c r="C96" s="7" t="s">
        <v>94</v>
      </c>
      <c r="D96" s="13" t="s">
        <v>10</v>
      </c>
      <c r="E96" s="12">
        <v>180</v>
      </c>
      <c r="F96" s="130">
        <f t="shared" si="12"/>
        <v>0</v>
      </c>
      <c r="G96" s="11">
        <f t="shared" si="13"/>
        <v>0</v>
      </c>
      <c r="H96" s="11">
        <f t="shared" si="14"/>
        <v>0</v>
      </c>
      <c r="I96" s="11">
        <v>0</v>
      </c>
      <c r="J96" s="11">
        <v>0</v>
      </c>
      <c r="K96" s="137">
        <f t="shared" si="15"/>
        <v>0</v>
      </c>
      <c r="L96" s="125"/>
      <c r="M96" s="110"/>
      <c r="N96" s="110"/>
      <c r="O96" s="111"/>
      <c r="P96" s="111"/>
      <c r="Q96" s="112"/>
      <c r="R96" s="112"/>
    </row>
    <row r="97" spans="1:18" s="15" customFormat="1" ht="32.25" customHeight="1" x14ac:dyDescent="0.35">
      <c r="A97" s="13">
        <v>20</v>
      </c>
      <c r="B97" s="14"/>
      <c r="C97" s="7" t="s">
        <v>93</v>
      </c>
      <c r="D97" s="13" t="s">
        <v>10</v>
      </c>
      <c r="E97" s="12">
        <v>50</v>
      </c>
      <c r="F97" s="130">
        <f t="shared" si="12"/>
        <v>0</v>
      </c>
      <c r="G97" s="11">
        <f t="shared" si="13"/>
        <v>0</v>
      </c>
      <c r="H97" s="11">
        <f t="shared" si="14"/>
        <v>0</v>
      </c>
      <c r="I97" s="11">
        <v>0</v>
      </c>
      <c r="J97" s="11">
        <v>0</v>
      </c>
      <c r="K97" s="137">
        <f t="shared" si="15"/>
        <v>0</v>
      </c>
      <c r="L97" s="125"/>
      <c r="M97" s="110"/>
      <c r="N97" s="110"/>
      <c r="O97" s="111"/>
      <c r="P97" s="111"/>
      <c r="Q97" s="112"/>
      <c r="R97" s="112"/>
    </row>
    <row r="98" spans="1:18" s="15" customFormat="1" ht="32.25" customHeight="1" x14ac:dyDescent="0.35">
      <c r="A98" s="13">
        <v>21</v>
      </c>
      <c r="B98" s="14"/>
      <c r="C98" s="7" t="s">
        <v>92</v>
      </c>
      <c r="D98" s="13" t="s">
        <v>10</v>
      </c>
      <c r="E98" s="12">
        <v>210</v>
      </c>
      <c r="F98" s="130">
        <f t="shared" si="12"/>
        <v>0</v>
      </c>
      <c r="G98" s="11">
        <f t="shared" si="13"/>
        <v>0</v>
      </c>
      <c r="H98" s="11">
        <f t="shared" si="14"/>
        <v>0</v>
      </c>
      <c r="I98" s="11">
        <v>0</v>
      </c>
      <c r="J98" s="11">
        <v>0</v>
      </c>
      <c r="K98" s="137">
        <f t="shared" si="15"/>
        <v>0</v>
      </c>
      <c r="L98" s="125"/>
      <c r="M98" s="110"/>
      <c r="N98" s="110"/>
      <c r="O98" s="111"/>
      <c r="P98" s="111"/>
      <c r="Q98" s="112"/>
      <c r="R98" s="112"/>
    </row>
    <row r="99" spans="1:18" s="15" customFormat="1" ht="32.25" customHeight="1" x14ac:dyDescent="0.35">
      <c r="A99" s="13">
        <v>22</v>
      </c>
      <c r="B99" s="14"/>
      <c r="C99" s="7" t="s">
        <v>91</v>
      </c>
      <c r="D99" s="13" t="s">
        <v>10</v>
      </c>
      <c r="E99" s="12">
        <v>100</v>
      </c>
      <c r="F99" s="130">
        <f t="shared" si="12"/>
        <v>0</v>
      </c>
      <c r="G99" s="11">
        <f t="shared" si="13"/>
        <v>0</v>
      </c>
      <c r="H99" s="11">
        <f t="shared" si="14"/>
        <v>0</v>
      </c>
      <c r="I99" s="11">
        <v>0</v>
      </c>
      <c r="J99" s="11">
        <v>0</v>
      </c>
      <c r="K99" s="137">
        <f t="shared" si="15"/>
        <v>0</v>
      </c>
      <c r="L99" s="125"/>
      <c r="M99" s="110"/>
      <c r="N99" s="110"/>
      <c r="O99" s="111"/>
      <c r="P99" s="111"/>
      <c r="Q99" s="112"/>
      <c r="R99" s="112"/>
    </row>
    <row r="100" spans="1:18" s="15" customFormat="1" ht="28.5" x14ac:dyDescent="0.35">
      <c r="A100" s="13">
        <v>23</v>
      </c>
      <c r="B100" s="14"/>
      <c r="C100" s="7" t="s">
        <v>90</v>
      </c>
      <c r="D100" s="13" t="s">
        <v>10</v>
      </c>
      <c r="E100" s="12">
        <f>E93+E91+E92</f>
        <v>12300</v>
      </c>
      <c r="F100" s="130">
        <f t="shared" si="12"/>
        <v>0</v>
      </c>
      <c r="G100" s="11">
        <f t="shared" si="13"/>
        <v>0</v>
      </c>
      <c r="H100" s="11">
        <f t="shared" si="14"/>
        <v>0</v>
      </c>
      <c r="I100" s="11">
        <v>0</v>
      </c>
      <c r="J100" s="11">
        <v>0</v>
      </c>
      <c r="K100" s="137">
        <f t="shared" si="15"/>
        <v>0</v>
      </c>
      <c r="L100" s="125"/>
      <c r="M100" s="110"/>
      <c r="N100" s="110"/>
      <c r="O100" s="111"/>
      <c r="P100" s="111"/>
      <c r="Q100" s="112"/>
      <c r="R100" s="112"/>
    </row>
    <row r="101" spans="1:18" s="15" customFormat="1" ht="28.5" x14ac:dyDescent="0.35">
      <c r="A101" s="13">
        <v>24</v>
      </c>
      <c r="B101" s="14"/>
      <c r="C101" s="7" t="s">
        <v>89</v>
      </c>
      <c r="D101" s="13" t="s">
        <v>10</v>
      </c>
      <c r="E101" s="12">
        <f>E94+E95+E90+E88+E89</f>
        <v>8290</v>
      </c>
      <c r="F101" s="130">
        <f t="shared" si="12"/>
        <v>0</v>
      </c>
      <c r="G101" s="11">
        <f t="shared" si="13"/>
        <v>0</v>
      </c>
      <c r="H101" s="11">
        <f t="shared" si="14"/>
        <v>0</v>
      </c>
      <c r="I101" s="11">
        <v>0</v>
      </c>
      <c r="J101" s="11">
        <v>0</v>
      </c>
      <c r="K101" s="137">
        <f t="shared" si="15"/>
        <v>0</v>
      </c>
      <c r="L101" s="125"/>
      <c r="M101" s="110"/>
      <c r="N101" s="110"/>
      <c r="O101" s="111"/>
      <c r="P101" s="111"/>
      <c r="Q101" s="112"/>
      <c r="R101" s="112"/>
    </row>
    <row r="102" spans="1:18" s="15" customFormat="1" ht="28.5" x14ac:dyDescent="0.35">
      <c r="A102" s="13">
        <v>25</v>
      </c>
      <c r="B102" s="14"/>
      <c r="C102" s="7" t="s">
        <v>88</v>
      </c>
      <c r="D102" s="13" t="s">
        <v>10</v>
      </c>
      <c r="E102" s="12">
        <f>E96+E87</f>
        <v>490</v>
      </c>
      <c r="F102" s="130">
        <f t="shared" si="12"/>
        <v>0</v>
      </c>
      <c r="G102" s="11">
        <f t="shared" si="13"/>
        <v>0</v>
      </c>
      <c r="H102" s="11">
        <f t="shared" si="14"/>
        <v>0</v>
      </c>
      <c r="I102" s="11">
        <v>0</v>
      </c>
      <c r="J102" s="11">
        <v>0</v>
      </c>
      <c r="K102" s="137">
        <f t="shared" si="15"/>
        <v>0</v>
      </c>
      <c r="L102" s="125"/>
      <c r="M102" s="110"/>
      <c r="N102" s="110"/>
      <c r="O102" s="111"/>
      <c r="P102" s="111"/>
      <c r="Q102" s="112"/>
      <c r="R102" s="112"/>
    </row>
    <row r="103" spans="1:18" s="15" customFormat="1" ht="28.5" x14ac:dyDescent="0.35">
      <c r="A103" s="13">
        <v>26</v>
      </c>
      <c r="B103" s="14"/>
      <c r="C103" s="7" t="s">
        <v>87</v>
      </c>
      <c r="D103" s="13" t="s">
        <v>10</v>
      </c>
      <c r="E103" s="12">
        <f>E86+E85</f>
        <v>300</v>
      </c>
      <c r="F103" s="130">
        <f t="shared" si="12"/>
        <v>0</v>
      </c>
      <c r="G103" s="11">
        <f t="shared" si="13"/>
        <v>0</v>
      </c>
      <c r="H103" s="11">
        <f t="shared" si="14"/>
        <v>0</v>
      </c>
      <c r="I103" s="11">
        <v>0</v>
      </c>
      <c r="J103" s="11">
        <v>0</v>
      </c>
      <c r="K103" s="137">
        <f t="shared" si="15"/>
        <v>0</v>
      </c>
      <c r="L103" s="125"/>
      <c r="M103" s="110"/>
      <c r="N103" s="110"/>
      <c r="O103" s="111"/>
      <c r="P103" s="111"/>
      <c r="Q103" s="112"/>
      <c r="R103" s="112"/>
    </row>
    <row r="104" spans="1:18" s="15" customFormat="1" ht="28.5" x14ac:dyDescent="0.35">
      <c r="A104" s="13">
        <v>27</v>
      </c>
      <c r="B104" s="14"/>
      <c r="C104" s="7" t="s">
        <v>86</v>
      </c>
      <c r="D104" s="13" t="s">
        <v>10</v>
      </c>
      <c r="E104" s="12">
        <f>E97+E84</f>
        <v>150</v>
      </c>
      <c r="F104" s="130">
        <f t="shared" si="12"/>
        <v>0</v>
      </c>
      <c r="G104" s="11">
        <f t="shared" si="13"/>
        <v>0</v>
      </c>
      <c r="H104" s="11">
        <f t="shared" si="14"/>
        <v>0</v>
      </c>
      <c r="I104" s="11">
        <v>0</v>
      </c>
      <c r="J104" s="11">
        <v>0</v>
      </c>
      <c r="K104" s="137">
        <f t="shared" si="15"/>
        <v>0</v>
      </c>
      <c r="L104" s="125"/>
      <c r="M104" s="110"/>
      <c r="N104" s="110"/>
      <c r="O104" s="111"/>
      <c r="P104" s="111"/>
      <c r="Q104" s="112"/>
      <c r="R104" s="112"/>
    </row>
    <row r="105" spans="1:18" s="15" customFormat="1" ht="28.5" x14ac:dyDescent="0.35">
      <c r="A105" s="13">
        <v>28</v>
      </c>
      <c r="B105" s="8"/>
      <c r="C105" s="7" t="s">
        <v>85</v>
      </c>
      <c r="D105" s="8" t="s">
        <v>10</v>
      </c>
      <c r="E105" s="12">
        <f>E98+E99+E83+E82</f>
        <v>550</v>
      </c>
      <c r="F105" s="130">
        <f t="shared" si="12"/>
        <v>0</v>
      </c>
      <c r="G105" s="11">
        <f t="shared" si="13"/>
        <v>0</v>
      </c>
      <c r="H105" s="11">
        <f t="shared" si="14"/>
        <v>0</v>
      </c>
      <c r="I105" s="11">
        <v>0</v>
      </c>
      <c r="J105" s="11">
        <v>0</v>
      </c>
      <c r="K105" s="137">
        <f t="shared" si="15"/>
        <v>0</v>
      </c>
      <c r="L105" s="125"/>
      <c r="M105" s="110"/>
      <c r="N105" s="110"/>
      <c r="O105" s="111"/>
      <c r="P105" s="111"/>
      <c r="Q105" s="112"/>
      <c r="R105" s="112"/>
    </row>
    <row r="106" spans="1:18" s="15" customFormat="1" ht="18" x14ac:dyDescent="0.35">
      <c r="A106" s="13">
        <v>29</v>
      </c>
      <c r="B106" s="8"/>
      <c r="C106" s="7" t="s">
        <v>84</v>
      </c>
      <c r="D106" s="8" t="s">
        <v>10</v>
      </c>
      <c r="E106" s="12">
        <f>E81+E80</f>
        <v>330</v>
      </c>
      <c r="F106" s="130">
        <f t="shared" si="12"/>
        <v>0</v>
      </c>
      <c r="G106" s="11">
        <f t="shared" si="13"/>
        <v>0</v>
      </c>
      <c r="H106" s="11">
        <f t="shared" si="14"/>
        <v>0</v>
      </c>
      <c r="I106" s="11">
        <v>0</v>
      </c>
      <c r="J106" s="11">
        <v>0</v>
      </c>
      <c r="K106" s="137">
        <f t="shared" si="15"/>
        <v>0</v>
      </c>
      <c r="L106" s="125"/>
      <c r="M106" s="110"/>
      <c r="N106" s="110"/>
      <c r="O106" s="111"/>
      <c r="P106" s="111"/>
      <c r="Q106" s="112"/>
      <c r="R106" s="112"/>
    </row>
    <row r="107" spans="1:18" s="15" customFormat="1" ht="18" x14ac:dyDescent="0.35">
      <c r="A107" s="13">
        <v>30</v>
      </c>
      <c r="B107" s="8"/>
      <c r="C107" s="7" t="s">
        <v>83</v>
      </c>
      <c r="D107" s="8" t="s">
        <v>10</v>
      </c>
      <c r="E107" s="12">
        <f>E79+E78</f>
        <v>390</v>
      </c>
      <c r="F107" s="130">
        <f t="shared" si="12"/>
        <v>0</v>
      </c>
      <c r="G107" s="11">
        <f t="shared" si="13"/>
        <v>0</v>
      </c>
      <c r="H107" s="11">
        <f t="shared" si="14"/>
        <v>0</v>
      </c>
      <c r="I107" s="11">
        <v>0</v>
      </c>
      <c r="J107" s="11">
        <v>0</v>
      </c>
      <c r="K107" s="137">
        <f t="shared" si="15"/>
        <v>0</v>
      </c>
      <c r="L107" s="125"/>
      <c r="M107" s="110"/>
      <c r="N107" s="110"/>
      <c r="O107" s="111"/>
      <c r="P107" s="111"/>
      <c r="Q107" s="112"/>
      <c r="R107" s="112"/>
    </row>
    <row r="108" spans="1:18" s="15" customFormat="1" ht="18" x14ac:dyDescent="0.35">
      <c r="A108" s="13">
        <v>31</v>
      </c>
      <c r="B108" s="14"/>
      <c r="C108" s="7" t="s">
        <v>41</v>
      </c>
      <c r="D108" s="13" t="s">
        <v>10</v>
      </c>
      <c r="E108" s="12">
        <v>400</v>
      </c>
      <c r="F108" s="130">
        <f t="shared" si="12"/>
        <v>0</v>
      </c>
      <c r="G108" s="11">
        <f t="shared" si="13"/>
        <v>0</v>
      </c>
      <c r="H108" s="11">
        <f t="shared" si="14"/>
        <v>0</v>
      </c>
      <c r="I108" s="11">
        <v>0</v>
      </c>
      <c r="J108" s="11">
        <v>0</v>
      </c>
      <c r="K108" s="137">
        <f t="shared" si="15"/>
        <v>0</v>
      </c>
      <c r="L108" s="125"/>
      <c r="M108" s="110"/>
      <c r="N108" s="110"/>
      <c r="O108" s="111"/>
      <c r="P108" s="111"/>
      <c r="Q108" s="112"/>
      <c r="R108" s="112"/>
    </row>
    <row r="109" spans="1:18" s="15" customFormat="1" ht="28.5" x14ac:dyDescent="0.35">
      <c r="A109" s="14"/>
      <c r="B109" s="14"/>
      <c r="C109" s="7" t="s">
        <v>54</v>
      </c>
      <c r="D109" s="13"/>
      <c r="E109" s="12"/>
      <c r="F109" s="130"/>
      <c r="G109" s="11"/>
      <c r="H109" s="11"/>
      <c r="I109" s="11"/>
      <c r="J109" s="11"/>
      <c r="K109" s="137">
        <v>0</v>
      </c>
      <c r="L109" s="125"/>
      <c r="M109" s="110"/>
      <c r="N109" s="110"/>
      <c r="O109" s="111"/>
      <c r="P109" s="111"/>
      <c r="Q109" s="112"/>
      <c r="R109" s="112"/>
    </row>
    <row r="110" spans="1:18" s="15" customFormat="1" ht="18" x14ac:dyDescent="0.35">
      <c r="A110" s="6"/>
      <c r="B110" s="6"/>
      <c r="C110" s="6" t="s">
        <v>82</v>
      </c>
      <c r="D110" s="6"/>
      <c r="E110" s="5"/>
      <c r="F110" s="140"/>
      <c r="G110" s="140"/>
      <c r="H110" s="140"/>
      <c r="I110" s="140"/>
      <c r="J110" s="140"/>
      <c r="K110" s="140">
        <f>SUM(K78:K109)</f>
        <v>0</v>
      </c>
      <c r="L110" s="125"/>
      <c r="M110" s="110"/>
      <c r="N110" s="110"/>
      <c r="O110" s="111"/>
      <c r="P110" s="111"/>
      <c r="Q110" s="112"/>
      <c r="R110" s="112"/>
    </row>
    <row r="111" spans="1:18" s="15" customFormat="1" ht="18" x14ac:dyDescent="0.35">
      <c r="A111" s="19"/>
      <c r="B111" s="19"/>
      <c r="C111" s="19"/>
      <c r="D111" s="19"/>
      <c r="E111" s="19"/>
      <c r="F111" s="140"/>
      <c r="G111" s="140"/>
      <c r="H111" s="140"/>
      <c r="I111" s="140"/>
      <c r="J111" s="140"/>
      <c r="K111" s="140"/>
      <c r="L111" s="125"/>
      <c r="M111" s="110"/>
      <c r="N111" s="110"/>
      <c r="O111" s="111"/>
      <c r="P111" s="111"/>
      <c r="Q111" s="112"/>
      <c r="R111" s="112"/>
    </row>
    <row r="112" spans="1:18" s="15" customFormat="1" ht="18" x14ac:dyDescent="0.35">
      <c r="A112" s="163" t="s">
        <v>81</v>
      </c>
      <c r="B112" s="163"/>
      <c r="C112" s="163"/>
      <c r="D112" s="163"/>
      <c r="E112" s="164"/>
      <c r="F112" s="140"/>
      <c r="G112" s="140"/>
      <c r="H112" s="140"/>
      <c r="I112" s="140"/>
      <c r="J112" s="140"/>
      <c r="K112" s="140"/>
      <c r="L112" s="125"/>
      <c r="M112" s="110"/>
      <c r="N112" s="110"/>
      <c r="O112" s="111"/>
      <c r="P112" s="111"/>
      <c r="Q112" s="112"/>
      <c r="R112" s="112"/>
    </row>
    <row r="113" spans="1:18" s="15" customFormat="1" ht="18.75" customHeight="1" x14ac:dyDescent="0.35">
      <c r="A113" s="10" t="s">
        <v>6</v>
      </c>
      <c r="B113" s="10"/>
      <c r="C113" s="10" t="s">
        <v>5</v>
      </c>
      <c r="D113" s="10" t="s">
        <v>4</v>
      </c>
      <c r="E113" s="9" t="s">
        <v>3</v>
      </c>
      <c r="F113" s="141" t="s">
        <v>2</v>
      </c>
      <c r="G113" s="141"/>
      <c r="H113" s="141"/>
      <c r="I113" s="141"/>
      <c r="J113" s="141"/>
      <c r="K113" s="141" t="s">
        <v>1</v>
      </c>
      <c r="L113" s="125"/>
      <c r="M113" s="110"/>
      <c r="N113" s="110"/>
      <c r="O113" s="111"/>
      <c r="P113" s="111"/>
      <c r="Q113" s="112"/>
      <c r="R113" s="112"/>
    </row>
    <row r="114" spans="1:18" s="15" customFormat="1" ht="18" x14ac:dyDescent="0.35">
      <c r="A114" s="14">
        <v>1</v>
      </c>
      <c r="B114" s="14"/>
      <c r="C114" s="7" t="s">
        <v>80</v>
      </c>
      <c r="D114" s="18" t="s">
        <v>60</v>
      </c>
      <c r="E114" s="22">
        <v>1</v>
      </c>
      <c r="F114" s="130">
        <f t="shared" ref="F114:F137" si="16">G114+H114+I114+J114</f>
        <v>0</v>
      </c>
      <c r="G114" s="11">
        <f t="shared" ref="G114:G137" si="17">O114</f>
        <v>0</v>
      </c>
      <c r="H114" s="11">
        <f t="shared" ref="H114:H137" si="18">Q114</f>
        <v>0</v>
      </c>
      <c r="I114" s="11">
        <v>0</v>
      </c>
      <c r="J114" s="11">
        <v>0</v>
      </c>
      <c r="K114" s="137">
        <f t="shared" ref="K114:K137" si="19">F114*E114</f>
        <v>0</v>
      </c>
      <c r="L114" s="125"/>
      <c r="M114" s="110"/>
      <c r="N114" s="110"/>
      <c r="O114" s="111"/>
      <c r="P114" s="111"/>
      <c r="Q114" s="112"/>
      <c r="R114" s="112"/>
    </row>
    <row r="115" spans="1:18" s="15" customFormat="1" ht="18" x14ac:dyDescent="0.35">
      <c r="A115" s="14">
        <v>2</v>
      </c>
      <c r="B115" s="14"/>
      <c r="C115" s="7" t="s">
        <v>79</v>
      </c>
      <c r="D115" s="18" t="s">
        <v>60</v>
      </c>
      <c r="E115" s="22">
        <v>1</v>
      </c>
      <c r="F115" s="130">
        <f t="shared" si="16"/>
        <v>0</v>
      </c>
      <c r="G115" s="11">
        <f t="shared" si="17"/>
        <v>0</v>
      </c>
      <c r="H115" s="11">
        <f t="shared" si="18"/>
        <v>0</v>
      </c>
      <c r="I115" s="11">
        <v>0</v>
      </c>
      <c r="J115" s="11">
        <v>0</v>
      </c>
      <c r="K115" s="137">
        <f t="shared" si="19"/>
        <v>0</v>
      </c>
      <c r="L115" s="125"/>
      <c r="M115" s="110"/>
      <c r="N115" s="110"/>
      <c r="O115" s="111"/>
      <c r="P115" s="111"/>
      <c r="Q115" s="112"/>
      <c r="R115" s="112"/>
    </row>
    <row r="116" spans="1:18" s="15" customFormat="1" ht="18" x14ac:dyDescent="0.35">
      <c r="A116" s="14">
        <v>3</v>
      </c>
      <c r="B116" s="14"/>
      <c r="C116" s="7" t="s">
        <v>78</v>
      </c>
      <c r="D116" s="18" t="s">
        <v>60</v>
      </c>
      <c r="E116" s="22">
        <v>247</v>
      </c>
      <c r="F116" s="130">
        <f t="shared" si="16"/>
        <v>0</v>
      </c>
      <c r="G116" s="11">
        <f t="shared" si="17"/>
        <v>0</v>
      </c>
      <c r="H116" s="11">
        <f t="shared" si="18"/>
        <v>0</v>
      </c>
      <c r="I116" s="11">
        <v>0</v>
      </c>
      <c r="J116" s="11">
        <v>0</v>
      </c>
      <c r="K116" s="137">
        <f t="shared" si="19"/>
        <v>0</v>
      </c>
      <c r="L116" s="125"/>
      <c r="M116" s="110"/>
      <c r="N116" s="110"/>
      <c r="O116" s="111"/>
      <c r="P116" s="111"/>
      <c r="Q116" s="112"/>
      <c r="R116" s="112"/>
    </row>
    <row r="117" spans="1:18" s="15" customFormat="1" ht="28.5" x14ac:dyDescent="0.35">
      <c r="A117" s="14">
        <v>4</v>
      </c>
      <c r="B117" s="14"/>
      <c r="C117" s="7" t="s">
        <v>77</v>
      </c>
      <c r="D117" s="18" t="s">
        <v>60</v>
      </c>
      <c r="E117" s="22">
        <v>8</v>
      </c>
      <c r="F117" s="130">
        <f t="shared" si="16"/>
        <v>0</v>
      </c>
      <c r="G117" s="11">
        <f t="shared" si="17"/>
        <v>0</v>
      </c>
      <c r="H117" s="11">
        <f t="shared" si="18"/>
        <v>0</v>
      </c>
      <c r="I117" s="11">
        <v>0</v>
      </c>
      <c r="J117" s="11">
        <v>0</v>
      </c>
      <c r="K117" s="137">
        <f t="shared" si="19"/>
        <v>0</v>
      </c>
      <c r="L117" s="125"/>
      <c r="M117" s="110"/>
      <c r="N117" s="110"/>
      <c r="O117" s="111"/>
      <c r="P117" s="111"/>
      <c r="Q117" s="112"/>
      <c r="R117" s="112"/>
    </row>
    <row r="118" spans="1:18" s="15" customFormat="1" ht="18" x14ac:dyDescent="0.35">
      <c r="A118" s="14">
        <v>5</v>
      </c>
      <c r="B118" s="14"/>
      <c r="C118" s="7" t="s">
        <v>76</v>
      </c>
      <c r="D118" s="18" t="s">
        <v>60</v>
      </c>
      <c r="E118" s="22">
        <v>2</v>
      </c>
      <c r="F118" s="130">
        <f t="shared" si="16"/>
        <v>0</v>
      </c>
      <c r="G118" s="11">
        <f t="shared" si="17"/>
        <v>0</v>
      </c>
      <c r="H118" s="11">
        <f t="shared" si="18"/>
        <v>0</v>
      </c>
      <c r="I118" s="11">
        <v>0</v>
      </c>
      <c r="J118" s="11">
        <v>0</v>
      </c>
      <c r="K118" s="137">
        <f t="shared" si="19"/>
        <v>0</v>
      </c>
      <c r="L118" s="125"/>
      <c r="M118" s="110"/>
      <c r="N118" s="110"/>
      <c r="O118" s="111"/>
      <c r="P118" s="111"/>
      <c r="Q118" s="112"/>
      <c r="R118" s="112"/>
    </row>
    <row r="119" spans="1:18" s="15" customFormat="1" ht="18" x14ac:dyDescent="0.35">
      <c r="A119" s="14">
        <v>6</v>
      </c>
      <c r="B119" s="14"/>
      <c r="C119" s="7" t="s">
        <v>75</v>
      </c>
      <c r="D119" s="18" t="s">
        <v>60</v>
      </c>
      <c r="E119" s="22">
        <v>78</v>
      </c>
      <c r="F119" s="130">
        <f t="shared" si="16"/>
        <v>0</v>
      </c>
      <c r="G119" s="11">
        <f t="shared" si="17"/>
        <v>0</v>
      </c>
      <c r="H119" s="11">
        <f t="shared" si="18"/>
        <v>0</v>
      </c>
      <c r="I119" s="11">
        <v>0</v>
      </c>
      <c r="J119" s="11">
        <v>0</v>
      </c>
      <c r="K119" s="137">
        <f t="shared" si="19"/>
        <v>0</v>
      </c>
      <c r="L119" s="125"/>
      <c r="M119" s="110"/>
      <c r="N119" s="110"/>
      <c r="O119" s="111"/>
      <c r="P119" s="111"/>
      <c r="Q119" s="112"/>
      <c r="R119" s="112"/>
    </row>
    <row r="120" spans="1:18" s="15" customFormat="1" ht="18" x14ac:dyDescent="0.35">
      <c r="A120" s="14">
        <v>7</v>
      </c>
      <c r="B120" s="14"/>
      <c r="C120" s="7" t="s">
        <v>74</v>
      </c>
      <c r="D120" s="18" t="s">
        <v>60</v>
      </c>
      <c r="E120" s="22">
        <v>23</v>
      </c>
      <c r="F120" s="130">
        <f t="shared" si="16"/>
        <v>0</v>
      </c>
      <c r="G120" s="11">
        <f t="shared" si="17"/>
        <v>0</v>
      </c>
      <c r="H120" s="11">
        <f t="shared" si="18"/>
        <v>0</v>
      </c>
      <c r="I120" s="11">
        <v>0</v>
      </c>
      <c r="J120" s="11">
        <v>0</v>
      </c>
      <c r="K120" s="137">
        <f t="shared" si="19"/>
        <v>0</v>
      </c>
      <c r="L120" s="125"/>
      <c r="M120" s="110"/>
      <c r="N120" s="110"/>
      <c r="O120" s="111"/>
      <c r="P120" s="111"/>
      <c r="Q120" s="112"/>
      <c r="R120" s="112"/>
    </row>
    <row r="121" spans="1:18" s="15" customFormat="1" ht="18" x14ac:dyDescent="0.35">
      <c r="A121" s="14">
        <v>8</v>
      </c>
      <c r="B121" s="14"/>
      <c r="C121" s="7" t="s">
        <v>73</v>
      </c>
      <c r="D121" s="18" t="s">
        <v>60</v>
      </c>
      <c r="E121" s="22">
        <v>6</v>
      </c>
      <c r="F121" s="130">
        <f t="shared" si="16"/>
        <v>0</v>
      </c>
      <c r="G121" s="11">
        <f t="shared" si="17"/>
        <v>0</v>
      </c>
      <c r="H121" s="11">
        <f t="shared" si="18"/>
        <v>0</v>
      </c>
      <c r="I121" s="11">
        <v>0</v>
      </c>
      <c r="J121" s="11">
        <v>0</v>
      </c>
      <c r="K121" s="137">
        <f t="shared" si="19"/>
        <v>0</v>
      </c>
      <c r="L121" s="125"/>
      <c r="M121" s="110"/>
      <c r="N121" s="110"/>
      <c r="O121" s="111"/>
      <c r="P121" s="111"/>
      <c r="Q121" s="112"/>
      <c r="R121" s="112"/>
    </row>
    <row r="122" spans="1:18" s="15" customFormat="1" ht="18" x14ac:dyDescent="0.35">
      <c r="A122" s="14">
        <v>9</v>
      </c>
      <c r="B122" s="14"/>
      <c r="C122" s="7" t="s">
        <v>72</v>
      </c>
      <c r="D122" s="18" t="s">
        <v>60</v>
      </c>
      <c r="E122" s="22">
        <v>42</v>
      </c>
      <c r="F122" s="130">
        <f t="shared" si="16"/>
        <v>0</v>
      </c>
      <c r="G122" s="11">
        <f t="shared" si="17"/>
        <v>0</v>
      </c>
      <c r="H122" s="11">
        <f t="shared" si="18"/>
        <v>0</v>
      </c>
      <c r="I122" s="11">
        <v>0</v>
      </c>
      <c r="J122" s="11">
        <v>0</v>
      </c>
      <c r="K122" s="137">
        <f t="shared" si="19"/>
        <v>0</v>
      </c>
      <c r="L122" s="125"/>
      <c r="M122" s="110"/>
      <c r="N122" s="110"/>
      <c r="O122" s="111"/>
      <c r="P122" s="111"/>
      <c r="Q122" s="112"/>
      <c r="R122" s="112"/>
    </row>
    <row r="123" spans="1:18" s="15" customFormat="1" ht="18" x14ac:dyDescent="0.35">
      <c r="A123" s="14">
        <v>10</v>
      </c>
      <c r="B123" s="13"/>
      <c r="C123" s="7" t="s">
        <v>71</v>
      </c>
      <c r="D123" s="18" t="s">
        <v>60</v>
      </c>
      <c r="E123" s="22">
        <v>12</v>
      </c>
      <c r="F123" s="130">
        <f t="shared" si="16"/>
        <v>0</v>
      </c>
      <c r="G123" s="11">
        <f t="shared" si="17"/>
        <v>0</v>
      </c>
      <c r="H123" s="11">
        <f t="shared" si="18"/>
        <v>0</v>
      </c>
      <c r="I123" s="11">
        <v>0</v>
      </c>
      <c r="J123" s="11">
        <v>0</v>
      </c>
      <c r="K123" s="137">
        <f t="shared" si="19"/>
        <v>0</v>
      </c>
      <c r="L123" s="125"/>
      <c r="M123" s="110"/>
      <c r="N123" s="110"/>
      <c r="O123" s="111"/>
      <c r="P123" s="111"/>
      <c r="Q123" s="112"/>
      <c r="R123" s="112"/>
    </row>
    <row r="124" spans="1:18" s="15" customFormat="1" ht="28.5" x14ac:dyDescent="0.35">
      <c r="A124" s="14">
        <v>11</v>
      </c>
      <c r="B124" s="7"/>
      <c r="C124" s="7" t="s">
        <v>70</v>
      </c>
      <c r="D124" s="18" t="s">
        <v>0</v>
      </c>
      <c r="E124" s="22">
        <v>1</v>
      </c>
      <c r="F124" s="130">
        <f t="shared" si="16"/>
        <v>0</v>
      </c>
      <c r="G124" s="11">
        <f t="shared" si="17"/>
        <v>0</v>
      </c>
      <c r="H124" s="11">
        <f t="shared" si="18"/>
        <v>0</v>
      </c>
      <c r="I124" s="11">
        <v>0</v>
      </c>
      <c r="J124" s="11">
        <v>0</v>
      </c>
      <c r="K124" s="137">
        <f t="shared" si="19"/>
        <v>0</v>
      </c>
      <c r="L124" s="125"/>
      <c r="M124" s="116"/>
      <c r="N124" s="116"/>
      <c r="O124" s="117"/>
      <c r="P124" s="117"/>
      <c r="Q124" s="118"/>
      <c r="R124" s="118"/>
    </row>
    <row r="125" spans="1:18" s="15" customFormat="1" ht="56.5" x14ac:dyDescent="0.35">
      <c r="A125" s="14">
        <v>12</v>
      </c>
      <c r="B125" s="7"/>
      <c r="C125" s="7" t="s">
        <v>69</v>
      </c>
      <c r="D125" s="18" t="s">
        <v>0</v>
      </c>
      <c r="E125" s="22">
        <v>11</v>
      </c>
      <c r="F125" s="130">
        <f t="shared" si="16"/>
        <v>0</v>
      </c>
      <c r="G125" s="11">
        <f t="shared" si="17"/>
        <v>0</v>
      </c>
      <c r="H125" s="11">
        <f t="shared" si="18"/>
        <v>0</v>
      </c>
      <c r="I125" s="11">
        <v>0</v>
      </c>
      <c r="J125" s="11">
        <v>0</v>
      </c>
      <c r="K125" s="137">
        <f t="shared" si="19"/>
        <v>0</v>
      </c>
      <c r="L125" s="125"/>
      <c r="M125" s="116"/>
      <c r="N125" s="116"/>
      <c r="O125" s="117"/>
      <c r="P125" s="117"/>
      <c r="Q125" s="118"/>
      <c r="R125" s="118"/>
    </row>
    <row r="126" spans="1:18" s="15" customFormat="1" ht="95.25" customHeight="1" x14ac:dyDescent="0.35">
      <c r="A126" s="14">
        <v>13</v>
      </c>
      <c r="B126" s="7"/>
      <c r="C126" s="7" t="s">
        <v>68</v>
      </c>
      <c r="D126" s="18" t="s">
        <v>0</v>
      </c>
      <c r="E126" s="22">
        <v>11</v>
      </c>
      <c r="F126" s="130">
        <f t="shared" si="16"/>
        <v>0</v>
      </c>
      <c r="G126" s="11">
        <f t="shared" si="17"/>
        <v>0</v>
      </c>
      <c r="H126" s="11">
        <f t="shared" si="18"/>
        <v>0</v>
      </c>
      <c r="I126" s="11">
        <v>0</v>
      </c>
      <c r="J126" s="11">
        <v>0</v>
      </c>
      <c r="K126" s="137">
        <f t="shared" si="19"/>
        <v>0</v>
      </c>
      <c r="L126" s="125"/>
      <c r="M126" s="116"/>
      <c r="N126" s="116"/>
      <c r="O126" s="117"/>
      <c r="P126" s="117"/>
      <c r="Q126" s="118"/>
      <c r="R126" s="118"/>
    </row>
    <row r="127" spans="1:18" s="15" customFormat="1" ht="28.5" x14ac:dyDescent="0.35">
      <c r="A127" s="14">
        <v>14</v>
      </c>
      <c r="B127" s="7"/>
      <c r="C127" s="7" t="s">
        <v>67</v>
      </c>
      <c r="D127" s="18" t="s">
        <v>10</v>
      </c>
      <c r="E127" s="22">
        <f>120*2</f>
        <v>240</v>
      </c>
      <c r="F127" s="130">
        <f t="shared" si="16"/>
        <v>0</v>
      </c>
      <c r="G127" s="11">
        <f t="shared" si="17"/>
        <v>0</v>
      </c>
      <c r="H127" s="11">
        <f t="shared" si="18"/>
        <v>0</v>
      </c>
      <c r="I127" s="11">
        <v>0</v>
      </c>
      <c r="J127" s="11">
        <v>0</v>
      </c>
      <c r="K127" s="137">
        <f t="shared" si="19"/>
        <v>0</v>
      </c>
      <c r="L127" s="125"/>
      <c r="M127" s="116"/>
      <c r="N127" s="116"/>
      <c r="O127" s="117"/>
      <c r="P127" s="117"/>
      <c r="Q127" s="118"/>
      <c r="R127" s="118"/>
    </row>
    <row r="128" spans="1:18" s="15" customFormat="1" ht="18" x14ac:dyDescent="0.35">
      <c r="A128" s="14">
        <v>15</v>
      </c>
      <c r="B128" s="7"/>
      <c r="C128" s="7" t="s">
        <v>66</v>
      </c>
      <c r="D128" s="18" t="s">
        <v>10</v>
      </c>
      <c r="E128" s="22">
        <v>22</v>
      </c>
      <c r="F128" s="130">
        <f t="shared" si="16"/>
        <v>0</v>
      </c>
      <c r="G128" s="11">
        <f t="shared" si="17"/>
        <v>0</v>
      </c>
      <c r="H128" s="11">
        <f t="shared" si="18"/>
        <v>0</v>
      </c>
      <c r="I128" s="11">
        <v>0</v>
      </c>
      <c r="J128" s="11">
        <v>0</v>
      </c>
      <c r="K128" s="137">
        <f t="shared" si="19"/>
        <v>0</v>
      </c>
      <c r="L128" s="125"/>
      <c r="M128" s="116"/>
      <c r="N128" s="116"/>
      <c r="O128" s="117"/>
      <c r="P128" s="117"/>
      <c r="Q128" s="118"/>
      <c r="R128" s="118"/>
    </row>
    <row r="129" spans="1:18" s="15" customFormat="1" ht="18" x14ac:dyDescent="0.35">
      <c r="A129" s="14">
        <v>16</v>
      </c>
      <c r="B129" s="14"/>
      <c r="C129" s="7" t="s">
        <v>65</v>
      </c>
      <c r="D129" s="18" t="s">
        <v>60</v>
      </c>
      <c r="E129" s="22">
        <v>47</v>
      </c>
      <c r="F129" s="130">
        <f t="shared" si="16"/>
        <v>0</v>
      </c>
      <c r="G129" s="11">
        <f t="shared" si="17"/>
        <v>0</v>
      </c>
      <c r="H129" s="11">
        <f t="shared" si="18"/>
        <v>0</v>
      </c>
      <c r="I129" s="11">
        <v>0</v>
      </c>
      <c r="J129" s="11">
        <v>0</v>
      </c>
      <c r="K129" s="137">
        <f t="shared" si="19"/>
        <v>0</v>
      </c>
      <c r="L129" s="125"/>
      <c r="M129" s="110"/>
      <c r="N129" s="110"/>
      <c r="O129" s="111"/>
      <c r="P129" s="111"/>
      <c r="Q129" s="112"/>
      <c r="R129" s="112"/>
    </row>
    <row r="130" spans="1:18" s="15" customFormat="1" ht="56.5" x14ac:dyDescent="0.35">
      <c r="A130" s="14">
        <v>17</v>
      </c>
      <c r="B130" s="14"/>
      <c r="C130" s="7" t="s">
        <v>64</v>
      </c>
      <c r="D130" s="22" t="s">
        <v>60</v>
      </c>
      <c r="E130" s="22">
        <v>1</v>
      </c>
      <c r="F130" s="130">
        <f t="shared" si="16"/>
        <v>0</v>
      </c>
      <c r="G130" s="11">
        <f t="shared" si="17"/>
        <v>0</v>
      </c>
      <c r="H130" s="11">
        <f t="shared" si="18"/>
        <v>0</v>
      </c>
      <c r="I130" s="11">
        <v>0</v>
      </c>
      <c r="J130" s="11">
        <v>0</v>
      </c>
      <c r="K130" s="137">
        <f t="shared" si="19"/>
        <v>0</v>
      </c>
      <c r="L130" s="122" t="s">
        <v>208</v>
      </c>
      <c r="M130" s="116"/>
      <c r="N130" s="116"/>
      <c r="O130" s="117"/>
      <c r="P130" s="117"/>
      <c r="Q130" s="118"/>
      <c r="R130" s="118"/>
    </row>
    <row r="131" spans="1:18" s="15" customFormat="1" ht="18" x14ac:dyDescent="0.35">
      <c r="A131" s="14">
        <v>18</v>
      </c>
      <c r="B131" s="14"/>
      <c r="C131" s="7" t="s">
        <v>63</v>
      </c>
      <c r="D131" s="18" t="s">
        <v>62</v>
      </c>
      <c r="E131" s="22">
        <v>5500</v>
      </c>
      <c r="F131" s="130">
        <f t="shared" si="16"/>
        <v>0</v>
      </c>
      <c r="G131" s="11">
        <f t="shared" si="17"/>
        <v>0</v>
      </c>
      <c r="H131" s="11">
        <f t="shared" si="18"/>
        <v>0</v>
      </c>
      <c r="I131" s="11">
        <v>0</v>
      </c>
      <c r="J131" s="11">
        <v>0</v>
      </c>
      <c r="K131" s="137">
        <f t="shared" si="19"/>
        <v>0</v>
      </c>
      <c r="L131" s="125"/>
      <c r="M131" s="110"/>
      <c r="N131" s="110"/>
      <c r="O131" s="111"/>
      <c r="P131" s="111"/>
      <c r="Q131" s="112"/>
      <c r="R131" s="112"/>
    </row>
    <row r="132" spans="1:18" s="15" customFormat="1" ht="65" x14ac:dyDescent="0.35">
      <c r="A132" s="14">
        <v>19</v>
      </c>
      <c r="B132" s="14"/>
      <c r="C132" s="7" t="s">
        <v>42</v>
      </c>
      <c r="D132" s="18" t="s">
        <v>62</v>
      </c>
      <c r="E132" s="22">
        <f>E131</f>
        <v>5500</v>
      </c>
      <c r="F132" s="130">
        <f t="shared" si="16"/>
        <v>0</v>
      </c>
      <c r="G132" s="11">
        <f t="shared" si="17"/>
        <v>0</v>
      </c>
      <c r="H132" s="11">
        <f t="shared" si="18"/>
        <v>0</v>
      </c>
      <c r="I132" s="11">
        <v>0</v>
      </c>
      <c r="J132" s="11">
        <v>0</v>
      </c>
      <c r="K132" s="137">
        <f t="shared" si="19"/>
        <v>0</v>
      </c>
      <c r="L132" s="123" t="s">
        <v>209</v>
      </c>
      <c r="M132" s="110"/>
      <c r="N132" s="110"/>
      <c r="O132" s="111"/>
      <c r="P132" s="111"/>
      <c r="Q132" s="112"/>
      <c r="R132" s="112"/>
    </row>
    <row r="133" spans="1:18" s="15" customFormat="1" ht="18" x14ac:dyDescent="0.35">
      <c r="A133" s="14">
        <v>20</v>
      </c>
      <c r="B133" s="14"/>
      <c r="C133" s="7" t="s">
        <v>61</v>
      </c>
      <c r="D133" s="18" t="s">
        <v>60</v>
      </c>
      <c r="E133" s="22">
        <v>12</v>
      </c>
      <c r="F133" s="130">
        <f t="shared" si="16"/>
        <v>0</v>
      </c>
      <c r="G133" s="11">
        <f t="shared" si="17"/>
        <v>0</v>
      </c>
      <c r="H133" s="11">
        <f t="shared" si="18"/>
        <v>0</v>
      </c>
      <c r="I133" s="11">
        <v>0</v>
      </c>
      <c r="J133" s="11">
        <v>0</v>
      </c>
      <c r="K133" s="137">
        <f t="shared" si="19"/>
        <v>0</v>
      </c>
      <c r="L133" s="125"/>
      <c r="M133" s="110"/>
      <c r="N133" s="110"/>
      <c r="O133" s="111"/>
      <c r="P133" s="111"/>
      <c r="Q133" s="112"/>
      <c r="R133" s="112"/>
    </row>
    <row r="134" spans="1:18" s="15" customFormat="1" ht="18" x14ac:dyDescent="0.35">
      <c r="A134" s="14">
        <v>21</v>
      </c>
      <c r="B134" s="14"/>
      <c r="C134" s="7" t="s">
        <v>59</v>
      </c>
      <c r="D134" s="21" t="s">
        <v>55</v>
      </c>
      <c r="E134" s="20">
        <v>1</v>
      </c>
      <c r="F134" s="130">
        <f t="shared" si="16"/>
        <v>0</v>
      </c>
      <c r="G134" s="11">
        <f t="shared" si="17"/>
        <v>0</v>
      </c>
      <c r="H134" s="11">
        <f t="shared" si="18"/>
        <v>0</v>
      </c>
      <c r="I134" s="11">
        <v>0</v>
      </c>
      <c r="J134" s="11">
        <v>0</v>
      </c>
      <c r="K134" s="137">
        <f t="shared" si="19"/>
        <v>0</v>
      </c>
      <c r="L134" s="125"/>
      <c r="M134" s="110"/>
      <c r="N134" s="110"/>
      <c r="O134" s="111"/>
      <c r="P134" s="111"/>
      <c r="Q134" s="112"/>
      <c r="R134" s="112"/>
    </row>
    <row r="135" spans="1:18" s="15" customFormat="1" ht="56.5" x14ac:dyDescent="0.35">
      <c r="A135" s="14">
        <v>22</v>
      </c>
      <c r="B135" s="14"/>
      <c r="C135" s="7" t="s">
        <v>58</v>
      </c>
      <c r="D135" s="21" t="s">
        <v>55</v>
      </c>
      <c r="E135" s="20">
        <v>1</v>
      </c>
      <c r="F135" s="130">
        <f t="shared" si="16"/>
        <v>0</v>
      </c>
      <c r="G135" s="11">
        <f t="shared" si="17"/>
        <v>0</v>
      </c>
      <c r="H135" s="11">
        <f t="shared" si="18"/>
        <v>0</v>
      </c>
      <c r="I135" s="11">
        <v>0</v>
      </c>
      <c r="J135" s="11">
        <v>0</v>
      </c>
      <c r="K135" s="137">
        <f t="shared" si="19"/>
        <v>0</v>
      </c>
      <c r="L135" s="125"/>
      <c r="M135" s="110"/>
      <c r="N135" s="110"/>
      <c r="O135" s="111"/>
      <c r="P135" s="111"/>
      <c r="Q135" s="112"/>
      <c r="R135" s="112"/>
    </row>
    <row r="136" spans="1:18" s="15" customFormat="1" ht="18" x14ac:dyDescent="0.35">
      <c r="A136" s="14">
        <v>23</v>
      </c>
      <c r="B136" s="14"/>
      <c r="C136" s="7" t="s">
        <v>57</v>
      </c>
      <c r="D136" s="21" t="s">
        <v>55</v>
      </c>
      <c r="E136" s="20">
        <v>1</v>
      </c>
      <c r="F136" s="130">
        <f t="shared" si="16"/>
        <v>0</v>
      </c>
      <c r="G136" s="11">
        <f t="shared" si="17"/>
        <v>0</v>
      </c>
      <c r="H136" s="11">
        <f t="shared" si="18"/>
        <v>0</v>
      </c>
      <c r="I136" s="11">
        <v>0</v>
      </c>
      <c r="J136" s="11">
        <v>0</v>
      </c>
      <c r="K136" s="137">
        <f t="shared" si="19"/>
        <v>0</v>
      </c>
      <c r="L136" s="125"/>
      <c r="M136" s="110"/>
      <c r="N136" s="110"/>
      <c r="O136" s="111"/>
      <c r="P136" s="111"/>
      <c r="Q136" s="112"/>
      <c r="R136" s="112"/>
    </row>
    <row r="137" spans="1:18" s="15" customFormat="1" ht="18" x14ac:dyDescent="0.35">
      <c r="A137" s="14">
        <v>24</v>
      </c>
      <c r="B137" s="14"/>
      <c r="C137" s="7" t="s">
        <v>56</v>
      </c>
      <c r="D137" s="21" t="s">
        <v>55</v>
      </c>
      <c r="E137" s="20">
        <v>1</v>
      </c>
      <c r="F137" s="130">
        <f t="shared" si="16"/>
        <v>0</v>
      </c>
      <c r="G137" s="11">
        <f t="shared" si="17"/>
        <v>0</v>
      </c>
      <c r="H137" s="11">
        <f t="shared" si="18"/>
        <v>0</v>
      </c>
      <c r="I137" s="11">
        <v>0</v>
      </c>
      <c r="J137" s="11">
        <v>0</v>
      </c>
      <c r="K137" s="137">
        <f t="shared" si="19"/>
        <v>0</v>
      </c>
      <c r="L137" s="125"/>
      <c r="M137" s="110"/>
      <c r="N137" s="110"/>
      <c r="O137" s="111"/>
      <c r="P137" s="111"/>
      <c r="Q137" s="112"/>
      <c r="R137" s="112"/>
    </row>
    <row r="138" spans="1:18" s="15" customFormat="1" ht="28.5" x14ac:dyDescent="0.35">
      <c r="A138" s="14"/>
      <c r="B138" s="14"/>
      <c r="C138" s="7" t="s">
        <v>54</v>
      </c>
      <c r="D138" s="18"/>
      <c r="E138" s="17"/>
      <c r="F138" s="130"/>
      <c r="G138" s="11"/>
      <c r="H138" s="11"/>
      <c r="I138" s="11"/>
      <c r="J138" s="11"/>
      <c r="K138" s="130">
        <v>0</v>
      </c>
      <c r="L138" s="125"/>
      <c r="M138" s="110"/>
      <c r="N138" s="110"/>
      <c r="O138" s="111"/>
      <c r="P138" s="111"/>
      <c r="Q138" s="112"/>
      <c r="R138" s="112"/>
    </row>
    <row r="139" spans="1:18" s="15" customFormat="1" ht="18" x14ac:dyDescent="0.35">
      <c r="A139" s="6"/>
      <c r="B139" s="6"/>
      <c r="C139" s="6" t="s">
        <v>53</v>
      </c>
      <c r="D139" s="6"/>
      <c r="E139" s="5"/>
      <c r="F139" s="140"/>
      <c r="G139" s="140"/>
      <c r="H139" s="140"/>
      <c r="I139" s="140"/>
      <c r="J139" s="140"/>
      <c r="K139" s="140">
        <f>SUM(K114:K138)</f>
        <v>0</v>
      </c>
      <c r="L139" s="125"/>
      <c r="M139" s="110"/>
      <c r="N139" s="110"/>
      <c r="O139" s="111"/>
      <c r="P139" s="111"/>
      <c r="Q139" s="112"/>
      <c r="R139" s="112"/>
    </row>
    <row r="140" spans="1:18" s="15" customFormat="1" ht="18" x14ac:dyDescent="0.35">
      <c r="A140" s="19"/>
      <c r="B140" s="19"/>
      <c r="C140" s="19"/>
      <c r="D140" s="19"/>
      <c r="E140" s="19"/>
      <c r="F140" s="140"/>
      <c r="G140" s="140"/>
      <c r="H140" s="140"/>
      <c r="I140" s="140"/>
      <c r="J140" s="140"/>
      <c r="K140" s="140"/>
      <c r="L140" s="125"/>
      <c r="M140" s="110"/>
      <c r="N140" s="110"/>
      <c r="O140" s="111"/>
      <c r="P140" s="111"/>
      <c r="Q140" s="112"/>
      <c r="R140" s="112"/>
    </row>
    <row r="141" spans="1:18" s="15" customFormat="1" ht="18" x14ac:dyDescent="0.35">
      <c r="A141" s="163" t="s">
        <v>52</v>
      </c>
      <c r="B141" s="163"/>
      <c r="C141" s="163"/>
      <c r="D141" s="163"/>
      <c r="E141" s="164"/>
      <c r="F141" s="140"/>
      <c r="G141" s="140"/>
      <c r="H141" s="140"/>
      <c r="I141" s="140"/>
      <c r="J141" s="140"/>
      <c r="K141" s="140"/>
      <c r="L141" s="125"/>
      <c r="M141" s="110"/>
      <c r="N141" s="110"/>
      <c r="O141" s="111"/>
      <c r="P141" s="111"/>
      <c r="Q141" s="112"/>
      <c r="R141" s="112"/>
    </row>
    <row r="142" spans="1:18" s="15" customFormat="1" ht="16.5" customHeight="1" x14ac:dyDescent="0.35">
      <c r="A142" s="10" t="s">
        <v>6</v>
      </c>
      <c r="B142" s="10"/>
      <c r="C142" s="10" t="s">
        <v>5</v>
      </c>
      <c r="D142" s="10" t="s">
        <v>4</v>
      </c>
      <c r="E142" s="9" t="s">
        <v>3</v>
      </c>
      <c r="F142" s="141" t="s">
        <v>2</v>
      </c>
      <c r="G142" s="141"/>
      <c r="H142" s="141"/>
      <c r="I142" s="141"/>
      <c r="J142" s="141"/>
      <c r="K142" s="141" t="s">
        <v>1</v>
      </c>
      <c r="L142" s="125"/>
      <c r="M142" s="110"/>
      <c r="N142" s="110"/>
      <c r="O142" s="111"/>
      <c r="P142" s="111"/>
      <c r="Q142" s="112"/>
      <c r="R142" s="112"/>
    </row>
    <row r="143" spans="1:18" s="15" customFormat="1" ht="18" x14ac:dyDescent="0.35">
      <c r="A143" s="14">
        <v>1</v>
      </c>
      <c r="B143" s="14"/>
      <c r="C143" s="7" t="s">
        <v>28</v>
      </c>
      <c r="D143" s="18" t="s">
        <v>10</v>
      </c>
      <c r="E143" s="17">
        <v>1500</v>
      </c>
      <c r="F143" s="130">
        <f t="shared" ref="F143:F159" si="20">G143+H143+I143+J143</f>
        <v>0</v>
      </c>
      <c r="G143" s="11">
        <f t="shared" ref="G143:G159" si="21">O143</f>
        <v>0</v>
      </c>
      <c r="H143" s="11">
        <f t="shared" ref="H143:H159" si="22">Q143</f>
        <v>0</v>
      </c>
      <c r="I143" s="11">
        <v>0</v>
      </c>
      <c r="J143" s="11">
        <v>0</v>
      </c>
      <c r="K143" s="137">
        <f t="shared" ref="K143:K159" si="23">F143*E143</f>
        <v>0</v>
      </c>
      <c r="L143" s="125"/>
      <c r="M143" s="110"/>
      <c r="N143" s="110"/>
      <c r="O143" s="111"/>
      <c r="P143" s="111"/>
      <c r="Q143" s="112"/>
      <c r="R143" s="112"/>
    </row>
    <row r="144" spans="1:18" s="15" customFormat="1" ht="18" x14ac:dyDescent="0.35">
      <c r="A144" s="14">
        <v>2</v>
      </c>
      <c r="B144" s="14"/>
      <c r="C144" s="7" t="s">
        <v>51</v>
      </c>
      <c r="D144" s="18" t="s">
        <v>0</v>
      </c>
      <c r="E144" s="17">
        <v>38</v>
      </c>
      <c r="F144" s="130">
        <f t="shared" si="20"/>
        <v>0</v>
      </c>
      <c r="G144" s="11">
        <f t="shared" si="21"/>
        <v>0</v>
      </c>
      <c r="H144" s="11">
        <f t="shared" si="22"/>
        <v>0</v>
      </c>
      <c r="I144" s="11">
        <v>0</v>
      </c>
      <c r="J144" s="11">
        <v>0</v>
      </c>
      <c r="K144" s="137">
        <f t="shared" si="23"/>
        <v>0</v>
      </c>
      <c r="L144" s="125"/>
      <c r="M144" s="110"/>
      <c r="N144" s="110"/>
      <c r="O144" s="111"/>
      <c r="P144" s="111"/>
      <c r="Q144" s="112"/>
      <c r="R144" s="112"/>
    </row>
    <row r="145" spans="1:18" s="15" customFormat="1" ht="18" x14ac:dyDescent="0.35">
      <c r="A145" s="14">
        <v>3</v>
      </c>
      <c r="B145" s="14"/>
      <c r="C145" s="7" t="s">
        <v>50</v>
      </c>
      <c r="D145" s="18" t="s">
        <v>0</v>
      </c>
      <c r="E145" s="17">
        <v>34</v>
      </c>
      <c r="F145" s="130">
        <f t="shared" si="20"/>
        <v>0</v>
      </c>
      <c r="G145" s="11">
        <f t="shared" si="21"/>
        <v>0</v>
      </c>
      <c r="H145" s="11">
        <f t="shared" si="22"/>
        <v>0</v>
      </c>
      <c r="I145" s="11">
        <v>0</v>
      </c>
      <c r="J145" s="11">
        <v>0</v>
      </c>
      <c r="K145" s="137">
        <f t="shared" si="23"/>
        <v>0</v>
      </c>
      <c r="L145" s="125"/>
      <c r="M145" s="110"/>
      <c r="N145" s="110"/>
      <c r="O145" s="111"/>
      <c r="P145" s="111"/>
      <c r="Q145" s="112"/>
      <c r="R145" s="112"/>
    </row>
    <row r="146" spans="1:18" s="15" customFormat="1" ht="18" x14ac:dyDescent="0.35">
      <c r="A146" s="14">
        <v>4</v>
      </c>
      <c r="B146" s="14"/>
      <c r="C146" s="7" t="s">
        <v>49</v>
      </c>
      <c r="D146" s="18" t="s">
        <v>10</v>
      </c>
      <c r="E146" s="17">
        <v>1100</v>
      </c>
      <c r="F146" s="130">
        <f t="shared" si="20"/>
        <v>0</v>
      </c>
      <c r="G146" s="11">
        <f t="shared" si="21"/>
        <v>0</v>
      </c>
      <c r="H146" s="11">
        <f t="shared" si="22"/>
        <v>0</v>
      </c>
      <c r="I146" s="11">
        <v>0</v>
      </c>
      <c r="J146" s="11">
        <v>0</v>
      </c>
      <c r="K146" s="137">
        <f t="shared" si="23"/>
        <v>0</v>
      </c>
      <c r="L146" s="125"/>
      <c r="M146" s="110"/>
      <c r="N146" s="110"/>
      <c r="O146" s="111"/>
      <c r="P146" s="111"/>
      <c r="Q146" s="112"/>
      <c r="R146" s="112"/>
    </row>
    <row r="147" spans="1:18" s="15" customFormat="1" ht="18" x14ac:dyDescent="0.35">
      <c r="A147" s="14">
        <v>5</v>
      </c>
      <c r="B147" s="14"/>
      <c r="C147" s="7" t="s">
        <v>48</v>
      </c>
      <c r="D147" s="18" t="s">
        <v>0</v>
      </c>
      <c r="E147" s="17">
        <v>34</v>
      </c>
      <c r="F147" s="130">
        <f t="shared" si="20"/>
        <v>0</v>
      </c>
      <c r="G147" s="11">
        <f t="shared" si="21"/>
        <v>0</v>
      </c>
      <c r="H147" s="11">
        <f t="shared" si="22"/>
        <v>0</v>
      </c>
      <c r="I147" s="11">
        <v>0</v>
      </c>
      <c r="J147" s="11">
        <v>0</v>
      </c>
      <c r="K147" s="137">
        <f t="shared" si="23"/>
        <v>0</v>
      </c>
      <c r="L147" s="125"/>
      <c r="M147" s="110"/>
      <c r="N147" s="110"/>
      <c r="O147" s="111"/>
      <c r="P147" s="111"/>
      <c r="Q147" s="112"/>
      <c r="R147" s="112"/>
    </row>
    <row r="148" spans="1:18" s="15" customFormat="1" ht="18" x14ac:dyDescent="0.35">
      <c r="A148" s="14">
        <v>6</v>
      </c>
      <c r="B148" s="14"/>
      <c r="C148" s="7" t="s">
        <v>47</v>
      </c>
      <c r="D148" s="18" t="s">
        <v>10</v>
      </c>
      <c r="E148" s="17">
        <v>1100</v>
      </c>
      <c r="F148" s="130">
        <f t="shared" si="20"/>
        <v>0</v>
      </c>
      <c r="G148" s="11">
        <f t="shared" si="21"/>
        <v>0</v>
      </c>
      <c r="H148" s="11">
        <f t="shared" si="22"/>
        <v>0</v>
      </c>
      <c r="I148" s="11">
        <v>0</v>
      </c>
      <c r="J148" s="11">
        <v>0</v>
      </c>
      <c r="K148" s="137">
        <f t="shared" si="23"/>
        <v>0</v>
      </c>
      <c r="L148" s="125"/>
      <c r="M148" s="110"/>
      <c r="N148" s="110"/>
      <c r="O148" s="111"/>
      <c r="P148" s="111"/>
      <c r="Q148" s="112"/>
      <c r="R148" s="112"/>
    </row>
    <row r="149" spans="1:18" s="15" customFormat="1" ht="18" x14ac:dyDescent="0.35">
      <c r="A149" s="14">
        <v>7</v>
      </c>
      <c r="B149" s="14"/>
      <c r="C149" s="7" t="s">
        <v>46</v>
      </c>
      <c r="D149" s="18" t="s">
        <v>0</v>
      </c>
      <c r="E149" s="17">
        <v>11</v>
      </c>
      <c r="F149" s="130">
        <f t="shared" si="20"/>
        <v>0</v>
      </c>
      <c r="G149" s="11">
        <f t="shared" si="21"/>
        <v>0</v>
      </c>
      <c r="H149" s="11">
        <f t="shared" si="22"/>
        <v>0</v>
      </c>
      <c r="I149" s="11">
        <v>0</v>
      </c>
      <c r="J149" s="11">
        <v>0</v>
      </c>
      <c r="K149" s="137">
        <f t="shared" si="23"/>
        <v>0</v>
      </c>
      <c r="L149" s="125"/>
      <c r="M149" s="110"/>
      <c r="N149" s="110"/>
      <c r="O149" s="111"/>
      <c r="P149" s="111"/>
      <c r="Q149" s="112"/>
      <c r="R149" s="112"/>
    </row>
    <row r="150" spans="1:18" s="15" customFormat="1" ht="56.5" x14ac:dyDescent="0.35">
      <c r="A150" s="14">
        <v>8</v>
      </c>
      <c r="B150" s="14"/>
      <c r="C150" s="7" t="s">
        <v>45</v>
      </c>
      <c r="D150" s="18" t="s">
        <v>0</v>
      </c>
      <c r="E150" s="17">
        <v>1</v>
      </c>
      <c r="F150" s="130">
        <f t="shared" si="20"/>
        <v>0</v>
      </c>
      <c r="G150" s="11">
        <f t="shared" si="21"/>
        <v>0</v>
      </c>
      <c r="H150" s="11">
        <f t="shared" si="22"/>
        <v>0</v>
      </c>
      <c r="I150" s="11">
        <v>0</v>
      </c>
      <c r="J150" s="11">
        <v>0</v>
      </c>
      <c r="K150" s="137">
        <f t="shared" si="23"/>
        <v>0</v>
      </c>
      <c r="L150" s="125"/>
      <c r="M150" s="110"/>
      <c r="N150" s="110"/>
      <c r="O150" s="111"/>
      <c r="P150" s="111"/>
      <c r="Q150" s="112"/>
      <c r="R150" s="112"/>
    </row>
    <row r="151" spans="1:18" s="15" customFormat="1" ht="18" x14ac:dyDescent="0.35">
      <c r="A151" s="14">
        <v>9</v>
      </c>
      <c r="B151" s="7"/>
      <c r="C151" s="7" t="s">
        <v>44</v>
      </c>
      <c r="D151" s="18" t="s">
        <v>0</v>
      </c>
      <c r="E151" s="17">
        <v>3</v>
      </c>
      <c r="F151" s="130">
        <f t="shared" si="20"/>
        <v>0</v>
      </c>
      <c r="G151" s="11">
        <f t="shared" si="21"/>
        <v>0</v>
      </c>
      <c r="H151" s="11">
        <f t="shared" si="22"/>
        <v>0</v>
      </c>
      <c r="I151" s="11">
        <v>0</v>
      </c>
      <c r="J151" s="11">
        <v>0</v>
      </c>
      <c r="K151" s="137">
        <f t="shared" si="23"/>
        <v>0</v>
      </c>
      <c r="L151" s="125"/>
      <c r="M151" s="110"/>
      <c r="N151" s="110"/>
      <c r="O151" s="111"/>
      <c r="P151" s="111"/>
      <c r="Q151" s="112"/>
      <c r="R151" s="112"/>
    </row>
    <row r="152" spans="1:18" s="15" customFormat="1" ht="18" x14ac:dyDescent="0.35">
      <c r="A152" s="14">
        <v>10</v>
      </c>
      <c r="B152" s="14"/>
      <c r="C152" s="7" t="s">
        <v>29</v>
      </c>
      <c r="D152" s="18" t="s">
        <v>0</v>
      </c>
      <c r="E152" s="17">
        <v>8</v>
      </c>
      <c r="F152" s="130">
        <f t="shared" si="20"/>
        <v>0</v>
      </c>
      <c r="G152" s="11">
        <f t="shared" si="21"/>
        <v>0</v>
      </c>
      <c r="H152" s="11">
        <f t="shared" si="22"/>
        <v>0</v>
      </c>
      <c r="I152" s="11">
        <v>0</v>
      </c>
      <c r="J152" s="11">
        <v>0</v>
      </c>
      <c r="K152" s="137">
        <f t="shared" si="23"/>
        <v>0</v>
      </c>
      <c r="L152" s="125"/>
      <c r="M152" s="110"/>
      <c r="N152" s="110"/>
      <c r="O152" s="111"/>
      <c r="P152" s="111"/>
      <c r="Q152" s="112"/>
      <c r="R152" s="112"/>
    </row>
    <row r="153" spans="1:18" s="15" customFormat="1" ht="18" x14ac:dyDescent="0.35">
      <c r="A153" s="14">
        <v>11</v>
      </c>
      <c r="B153" s="14"/>
      <c r="C153" s="7" t="s">
        <v>43</v>
      </c>
      <c r="D153" s="18" t="s">
        <v>0</v>
      </c>
      <c r="E153" s="17">
        <v>1</v>
      </c>
      <c r="F153" s="130">
        <f t="shared" si="20"/>
        <v>0</v>
      </c>
      <c r="G153" s="11">
        <f t="shared" si="21"/>
        <v>0</v>
      </c>
      <c r="H153" s="11">
        <f t="shared" si="22"/>
        <v>0</v>
      </c>
      <c r="I153" s="11">
        <v>0</v>
      </c>
      <c r="J153" s="11">
        <v>0</v>
      </c>
      <c r="K153" s="137">
        <f t="shared" si="23"/>
        <v>0</v>
      </c>
      <c r="L153" s="125"/>
      <c r="M153" s="110"/>
      <c r="N153" s="110"/>
      <c r="O153" s="111"/>
      <c r="P153" s="111"/>
      <c r="Q153" s="112"/>
      <c r="R153" s="112"/>
    </row>
    <row r="154" spans="1:18" s="15" customFormat="1" ht="28.5" x14ac:dyDescent="0.35">
      <c r="A154" s="14">
        <v>12</v>
      </c>
      <c r="B154" s="14"/>
      <c r="C154" s="7" t="s">
        <v>42</v>
      </c>
      <c r="D154" s="18" t="s">
        <v>18</v>
      </c>
      <c r="E154" s="17">
        <f>E143+E146+E148</f>
        <v>3700</v>
      </c>
      <c r="F154" s="130">
        <f t="shared" si="20"/>
        <v>0</v>
      </c>
      <c r="G154" s="11">
        <f t="shared" si="21"/>
        <v>0</v>
      </c>
      <c r="H154" s="11">
        <f t="shared" si="22"/>
        <v>0</v>
      </c>
      <c r="I154" s="11">
        <v>0</v>
      </c>
      <c r="J154" s="11">
        <v>0</v>
      </c>
      <c r="K154" s="137">
        <f t="shared" si="23"/>
        <v>0</v>
      </c>
      <c r="L154" s="125"/>
      <c r="M154" s="110"/>
      <c r="N154" s="110"/>
      <c r="O154" s="111"/>
      <c r="P154" s="111"/>
      <c r="Q154" s="112"/>
      <c r="R154" s="112"/>
    </row>
    <row r="155" spans="1:18" s="15" customFormat="1" ht="18" x14ac:dyDescent="0.35">
      <c r="A155" s="14">
        <v>13</v>
      </c>
      <c r="B155" s="14"/>
      <c r="C155" s="7" t="s">
        <v>41</v>
      </c>
      <c r="D155" s="18" t="s">
        <v>10</v>
      </c>
      <c r="E155" s="17">
        <v>400</v>
      </c>
      <c r="F155" s="130">
        <f t="shared" si="20"/>
        <v>0</v>
      </c>
      <c r="G155" s="11">
        <f t="shared" si="21"/>
        <v>0</v>
      </c>
      <c r="H155" s="11">
        <f t="shared" si="22"/>
        <v>0</v>
      </c>
      <c r="I155" s="11">
        <v>0</v>
      </c>
      <c r="J155" s="11">
        <v>0</v>
      </c>
      <c r="K155" s="137">
        <f t="shared" si="23"/>
        <v>0</v>
      </c>
      <c r="L155" s="125"/>
      <c r="M155" s="110"/>
      <c r="N155" s="110"/>
      <c r="O155" s="111"/>
      <c r="P155" s="111"/>
      <c r="Q155" s="112"/>
      <c r="R155" s="112"/>
    </row>
    <row r="156" spans="1:18" s="15" customFormat="1" ht="18" x14ac:dyDescent="0.35">
      <c r="A156" s="14">
        <v>14</v>
      </c>
      <c r="B156" s="14"/>
      <c r="C156" s="7" t="s">
        <v>40</v>
      </c>
      <c r="D156" s="18" t="s">
        <v>0</v>
      </c>
      <c r="E156" s="17">
        <v>5</v>
      </c>
      <c r="F156" s="130">
        <f t="shared" si="20"/>
        <v>0</v>
      </c>
      <c r="G156" s="11">
        <f t="shared" si="21"/>
        <v>0</v>
      </c>
      <c r="H156" s="11">
        <f t="shared" si="22"/>
        <v>0</v>
      </c>
      <c r="I156" s="11">
        <v>0</v>
      </c>
      <c r="J156" s="11">
        <v>0</v>
      </c>
      <c r="K156" s="137">
        <f t="shared" si="23"/>
        <v>0</v>
      </c>
      <c r="L156" s="125"/>
      <c r="M156" s="110"/>
      <c r="N156" s="110"/>
      <c r="O156" s="111"/>
      <c r="P156" s="111"/>
      <c r="Q156" s="112"/>
      <c r="R156" s="112"/>
    </row>
    <row r="157" spans="1:18" s="15" customFormat="1" ht="18" x14ac:dyDescent="0.35">
      <c r="A157" s="14">
        <v>15</v>
      </c>
      <c r="B157" s="14"/>
      <c r="C157" s="7" t="s">
        <v>39</v>
      </c>
      <c r="D157" s="18" t="s">
        <v>0</v>
      </c>
      <c r="E157" s="17">
        <v>5</v>
      </c>
      <c r="F157" s="130">
        <f t="shared" si="20"/>
        <v>0</v>
      </c>
      <c r="G157" s="11">
        <f t="shared" si="21"/>
        <v>0</v>
      </c>
      <c r="H157" s="11">
        <f t="shared" si="22"/>
        <v>0</v>
      </c>
      <c r="I157" s="11">
        <v>0</v>
      </c>
      <c r="J157" s="11">
        <v>0</v>
      </c>
      <c r="K157" s="137">
        <f t="shared" si="23"/>
        <v>0</v>
      </c>
      <c r="L157" s="125"/>
      <c r="M157" s="116"/>
      <c r="N157" s="116"/>
      <c r="O157" s="117"/>
      <c r="P157" s="117"/>
      <c r="Q157" s="118"/>
      <c r="R157" s="118"/>
    </row>
    <row r="158" spans="1:18" s="15" customFormat="1" ht="18" x14ac:dyDescent="0.35">
      <c r="A158" s="14">
        <v>16</v>
      </c>
      <c r="B158" s="14"/>
      <c r="C158" s="7" t="s">
        <v>38</v>
      </c>
      <c r="D158" s="18" t="s">
        <v>37</v>
      </c>
      <c r="E158" s="17">
        <v>1</v>
      </c>
      <c r="F158" s="130">
        <f t="shared" si="20"/>
        <v>0</v>
      </c>
      <c r="G158" s="11">
        <f t="shared" si="21"/>
        <v>0</v>
      </c>
      <c r="H158" s="11">
        <f t="shared" si="22"/>
        <v>0</v>
      </c>
      <c r="I158" s="11">
        <v>0</v>
      </c>
      <c r="J158" s="11">
        <v>0</v>
      </c>
      <c r="K158" s="137">
        <f t="shared" si="23"/>
        <v>0</v>
      </c>
      <c r="L158" s="125"/>
      <c r="M158" s="110"/>
      <c r="N158" s="110"/>
      <c r="O158" s="111"/>
      <c r="P158" s="111"/>
      <c r="Q158" s="112"/>
      <c r="R158" s="112"/>
    </row>
    <row r="159" spans="1:18" s="15" customFormat="1" ht="42.5" x14ac:dyDescent="0.35">
      <c r="A159" s="14">
        <v>17</v>
      </c>
      <c r="B159" s="14"/>
      <c r="C159" s="7" t="s">
        <v>36</v>
      </c>
      <c r="D159" s="18" t="s">
        <v>0</v>
      </c>
      <c r="E159" s="17">
        <v>350</v>
      </c>
      <c r="F159" s="130">
        <f t="shared" si="20"/>
        <v>0</v>
      </c>
      <c r="G159" s="11">
        <f t="shared" si="21"/>
        <v>0</v>
      </c>
      <c r="H159" s="11">
        <f t="shared" si="22"/>
        <v>0</v>
      </c>
      <c r="I159" s="11">
        <v>0</v>
      </c>
      <c r="J159" s="11">
        <v>0</v>
      </c>
      <c r="K159" s="137">
        <f t="shared" si="23"/>
        <v>0</v>
      </c>
      <c r="L159" s="125"/>
      <c r="M159" s="116"/>
      <c r="N159" s="116"/>
      <c r="O159" s="117"/>
      <c r="P159" s="117"/>
      <c r="Q159" s="118"/>
      <c r="R159" s="118"/>
    </row>
    <row r="160" spans="1:18" s="15" customFormat="1" ht="18" x14ac:dyDescent="0.35">
      <c r="A160" s="6"/>
      <c r="B160" s="6"/>
      <c r="C160" s="6" t="s">
        <v>35</v>
      </c>
      <c r="D160" s="6"/>
      <c r="E160" s="5"/>
      <c r="F160" s="140"/>
      <c r="G160" s="140"/>
      <c r="H160" s="140"/>
      <c r="I160" s="140"/>
      <c r="J160" s="140"/>
      <c r="K160" s="148">
        <f>SUM(K143:K159)</f>
        <v>0</v>
      </c>
      <c r="L160" s="125"/>
      <c r="M160" s="110"/>
      <c r="N160" s="110"/>
      <c r="O160" s="111"/>
      <c r="P160" s="111"/>
      <c r="Q160" s="112"/>
      <c r="R160" s="112"/>
    </row>
    <row r="161" spans="1:18" s="15" customFormat="1" ht="18" x14ac:dyDescent="0.35">
      <c r="A161" s="6"/>
      <c r="B161" s="6"/>
      <c r="C161" s="6"/>
      <c r="D161" s="6"/>
      <c r="E161" s="5"/>
      <c r="F161" s="140"/>
      <c r="G161" s="140"/>
      <c r="H161" s="140"/>
      <c r="I161" s="140"/>
      <c r="J161" s="140"/>
      <c r="K161" s="140"/>
      <c r="L161" s="125"/>
      <c r="M161" s="110"/>
      <c r="N161" s="110"/>
      <c r="O161" s="111"/>
      <c r="P161" s="111"/>
      <c r="Q161" s="112"/>
      <c r="R161" s="112"/>
    </row>
    <row r="162" spans="1:18" s="15" customFormat="1" ht="18" x14ac:dyDescent="0.35">
      <c r="A162" s="163" t="s">
        <v>34</v>
      </c>
      <c r="B162" s="163"/>
      <c r="C162" s="163"/>
      <c r="D162" s="163"/>
      <c r="E162" s="164"/>
      <c r="F162" s="140"/>
      <c r="G162" s="140"/>
      <c r="H162" s="140"/>
      <c r="I162" s="140"/>
      <c r="J162" s="140"/>
      <c r="K162" s="140"/>
      <c r="L162" s="125"/>
      <c r="M162" s="110"/>
      <c r="N162" s="110"/>
      <c r="O162" s="111"/>
      <c r="P162" s="111"/>
      <c r="Q162" s="112"/>
      <c r="R162" s="112"/>
    </row>
    <row r="163" spans="1:18" s="15" customFormat="1" ht="18.75" customHeight="1" x14ac:dyDescent="0.35">
      <c r="A163" s="10" t="s">
        <v>6</v>
      </c>
      <c r="B163" s="10"/>
      <c r="C163" s="10" t="s">
        <v>5</v>
      </c>
      <c r="D163" s="10" t="s">
        <v>4</v>
      </c>
      <c r="E163" s="9" t="s">
        <v>3</v>
      </c>
      <c r="F163" s="141" t="s">
        <v>2</v>
      </c>
      <c r="G163" s="141"/>
      <c r="H163" s="141"/>
      <c r="I163" s="141"/>
      <c r="J163" s="141"/>
      <c r="K163" s="141" t="s">
        <v>1</v>
      </c>
      <c r="L163" s="125"/>
      <c r="M163" s="110"/>
      <c r="N163" s="110"/>
      <c r="O163" s="111"/>
      <c r="P163" s="111"/>
      <c r="Q163" s="112"/>
      <c r="R163" s="112"/>
    </row>
    <row r="164" spans="1:18" s="15" customFormat="1" ht="18" x14ac:dyDescent="0.35">
      <c r="A164" s="14">
        <v>1</v>
      </c>
      <c r="B164" s="14"/>
      <c r="C164" s="7" t="s">
        <v>33</v>
      </c>
      <c r="D164" s="18" t="s">
        <v>0</v>
      </c>
      <c r="E164" s="17">
        <v>48</v>
      </c>
      <c r="F164" s="130">
        <f t="shared" ref="F164:F170" si="24">G164+H164+I164+J164</f>
        <v>0</v>
      </c>
      <c r="G164" s="11">
        <f t="shared" ref="G164:G170" si="25">O164</f>
        <v>0</v>
      </c>
      <c r="H164" s="11">
        <f t="shared" ref="H164:H170" si="26">Q164</f>
        <v>0</v>
      </c>
      <c r="I164" s="11">
        <v>0</v>
      </c>
      <c r="J164" s="11">
        <v>0</v>
      </c>
      <c r="K164" s="137">
        <f t="shared" ref="K164:K170" si="27">F164*E164</f>
        <v>0</v>
      </c>
      <c r="L164" s="125"/>
      <c r="M164" s="110"/>
      <c r="N164" s="110"/>
      <c r="O164" s="111"/>
      <c r="P164" s="111"/>
      <c r="Q164" s="112"/>
      <c r="R164" s="112"/>
    </row>
    <row r="165" spans="1:18" s="15" customFormat="1" ht="18" x14ac:dyDescent="0.35">
      <c r="A165" s="14">
        <v>2</v>
      </c>
      <c r="B165" s="14"/>
      <c r="C165" s="7" t="s">
        <v>32</v>
      </c>
      <c r="D165" s="18" t="s">
        <v>0</v>
      </c>
      <c r="E165" s="17">
        <v>11</v>
      </c>
      <c r="F165" s="130">
        <f t="shared" si="24"/>
        <v>0</v>
      </c>
      <c r="G165" s="11">
        <f t="shared" si="25"/>
        <v>0</v>
      </c>
      <c r="H165" s="11">
        <f t="shared" si="26"/>
        <v>0</v>
      </c>
      <c r="I165" s="11">
        <v>0</v>
      </c>
      <c r="J165" s="11">
        <v>0</v>
      </c>
      <c r="K165" s="137">
        <f t="shared" si="27"/>
        <v>0</v>
      </c>
      <c r="L165" s="125"/>
      <c r="M165" s="110"/>
      <c r="N165" s="110"/>
      <c r="O165" s="111"/>
      <c r="P165" s="111"/>
      <c r="Q165" s="112"/>
      <c r="R165" s="112"/>
    </row>
    <row r="166" spans="1:18" s="15" customFormat="1" ht="18" x14ac:dyDescent="0.35">
      <c r="A166" s="14">
        <v>3</v>
      </c>
      <c r="B166" s="14"/>
      <c r="C166" s="7" t="s">
        <v>31</v>
      </c>
      <c r="D166" s="18" t="s">
        <v>0</v>
      </c>
      <c r="E166" s="17">
        <v>1</v>
      </c>
      <c r="F166" s="130">
        <f t="shared" si="24"/>
        <v>0</v>
      </c>
      <c r="G166" s="11">
        <f t="shared" si="25"/>
        <v>0</v>
      </c>
      <c r="H166" s="11">
        <f t="shared" si="26"/>
        <v>0</v>
      </c>
      <c r="I166" s="11">
        <v>0</v>
      </c>
      <c r="J166" s="11">
        <v>0</v>
      </c>
      <c r="K166" s="137">
        <f t="shared" si="27"/>
        <v>0</v>
      </c>
      <c r="L166" s="125"/>
      <c r="M166" s="110"/>
      <c r="N166" s="110"/>
      <c r="O166" s="111"/>
      <c r="P166" s="111"/>
      <c r="Q166" s="112"/>
      <c r="R166" s="112"/>
    </row>
    <row r="167" spans="1:18" s="15" customFormat="1" ht="56.5" x14ac:dyDescent="0.35">
      <c r="A167" s="14">
        <v>4</v>
      </c>
      <c r="B167" s="14"/>
      <c r="C167" s="7" t="s">
        <v>30</v>
      </c>
      <c r="D167" s="18" t="s">
        <v>0</v>
      </c>
      <c r="E167" s="17">
        <v>1</v>
      </c>
      <c r="F167" s="130">
        <f t="shared" si="24"/>
        <v>0</v>
      </c>
      <c r="G167" s="11">
        <f t="shared" si="25"/>
        <v>0</v>
      </c>
      <c r="H167" s="11">
        <f t="shared" si="26"/>
        <v>0</v>
      </c>
      <c r="I167" s="11">
        <v>0</v>
      </c>
      <c r="J167" s="11">
        <v>0</v>
      </c>
      <c r="K167" s="137">
        <f t="shared" si="27"/>
        <v>0</v>
      </c>
      <c r="L167" s="125"/>
      <c r="M167" s="110"/>
      <c r="N167" s="110"/>
      <c r="O167" s="111"/>
      <c r="P167" s="111"/>
      <c r="Q167" s="112"/>
      <c r="R167" s="112"/>
    </row>
    <row r="168" spans="1:18" s="15" customFormat="1" ht="18" x14ac:dyDescent="0.35">
      <c r="A168" s="14">
        <v>5</v>
      </c>
      <c r="B168" s="14"/>
      <c r="C168" s="7" t="s">
        <v>29</v>
      </c>
      <c r="D168" s="18" t="s">
        <v>0</v>
      </c>
      <c r="E168" s="17">
        <v>3</v>
      </c>
      <c r="F168" s="130">
        <f t="shared" si="24"/>
        <v>0</v>
      </c>
      <c r="G168" s="11">
        <f t="shared" si="25"/>
        <v>0</v>
      </c>
      <c r="H168" s="11">
        <f t="shared" si="26"/>
        <v>0</v>
      </c>
      <c r="I168" s="11">
        <v>0</v>
      </c>
      <c r="J168" s="11">
        <v>0</v>
      </c>
      <c r="K168" s="137">
        <f t="shared" si="27"/>
        <v>0</v>
      </c>
      <c r="L168" s="125"/>
      <c r="M168" s="110"/>
      <c r="N168" s="110"/>
      <c r="O168" s="111"/>
      <c r="P168" s="111"/>
      <c r="Q168" s="112"/>
      <c r="R168" s="112"/>
    </row>
    <row r="169" spans="1:18" s="15" customFormat="1" ht="18" x14ac:dyDescent="0.35">
      <c r="A169" s="14">
        <v>6</v>
      </c>
      <c r="B169" s="14"/>
      <c r="C169" s="7" t="s">
        <v>28</v>
      </c>
      <c r="D169" s="18" t="s">
        <v>10</v>
      </c>
      <c r="E169" s="17">
        <v>2100</v>
      </c>
      <c r="F169" s="130">
        <f t="shared" si="24"/>
        <v>0</v>
      </c>
      <c r="G169" s="11">
        <f t="shared" si="25"/>
        <v>0</v>
      </c>
      <c r="H169" s="11">
        <f t="shared" si="26"/>
        <v>0</v>
      </c>
      <c r="I169" s="11">
        <v>0</v>
      </c>
      <c r="J169" s="11">
        <v>0</v>
      </c>
      <c r="K169" s="137">
        <f t="shared" si="27"/>
        <v>0</v>
      </c>
      <c r="L169" s="125"/>
      <c r="M169" s="110"/>
      <c r="N169" s="110"/>
      <c r="O169" s="111"/>
      <c r="P169" s="111"/>
      <c r="Q169" s="112"/>
      <c r="R169" s="112"/>
    </row>
    <row r="170" spans="1:18" s="15" customFormat="1" ht="28.5" x14ac:dyDescent="0.35">
      <c r="A170" s="14">
        <v>7</v>
      </c>
      <c r="B170" s="14"/>
      <c r="C170" s="7" t="s">
        <v>27</v>
      </c>
      <c r="D170" s="18" t="s">
        <v>10</v>
      </c>
      <c r="E170" s="17">
        <f>E169</f>
        <v>2100</v>
      </c>
      <c r="F170" s="130">
        <f t="shared" si="24"/>
        <v>0</v>
      </c>
      <c r="G170" s="11">
        <f t="shared" si="25"/>
        <v>0</v>
      </c>
      <c r="H170" s="11">
        <f t="shared" si="26"/>
        <v>0</v>
      </c>
      <c r="I170" s="11">
        <v>0</v>
      </c>
      <c r="J170" s="11">
        <v>0</v>
      </c>
      <c r="K170" s="137">
        <f t="shared" si="27"/>
        <v>0</v>
      </c>
      <c r="L170" s="125"/>
      <c r="M170" s="110"/>
      <c r="N170" s="110"/>
      <c r="O170" s="111"/>
      <c r="P170" s="111"/>
      <c r="Q170" s="112"/>
      <c r="R170" s="112"/>
    </row>
    <row r="171" spans="1:18" s="15" customFormat="1" ht="18" x14ac:dyDescent="0.35">
      <c r="A171" s="6"/>
      <c r="B171" s="6"/>
      <c r="C171" s="6" t="s">
        <v>26</v>
      </c>
      <c r="D171" s="6"/>
      <c r="E171" s="5"/>
      <c r="F171" s="140"/>
      <c r="G171" s="140"/>
      <c r="H171" s="140"/>
      <c r="I171" s="140"/>
      <c r="J171" s="140"/>
      <c r="K171" s="148">
        <f>SUM(K164:K170)</f>
        <v>0</v>
      </c>
      <c r="L171" s="125"/>
      <c r="M171" s="110"/>
      <c r="N171" s="110"/>
      <c r="O171" s="111"/>
      <c r="P171" s="111"/>
      <c r="Q171" s="112"/>
      <c r="R171" s="112"/>
    </row>
    <row r="172" spans="1:18" s="15" customFormat="1" ht="18" x14ac:dyDescent="0.35">
      <c r="A172" s="19"/>
      <c r="B172" s="19"/>
      <c r="C172" s="19"/>
      <c r="D172" s="19"/>
      <c r="E172" s="19"/>
      <c r="F172" s="140"/>
      <c r="G172" s="140"/>
      <c r="H172" s="140"/>
      <c r="I172" s="140"/>
      <c r="J172" s="140"/>
      <c r="K172" s="140"/>
      <c r="L172" s="125"/>
      <c r="M172" s="110"/>
      <c r="N172" s="110"/>
      <c r="O172" s="111"/>
      <c r="P172" s="111"/>
      <c r="Q172" s="112"/>
      <c r="R172" s="112"/>
    </row>
    <row r="173" spans="1:18" s="15" customFormat="1" ht="18" x14ac:dyDescent="0.35">
      <c r="A173" s="163" t="s">
        <v>25</v>
      </c>
      <c r="B173" s="163"/>
      <c r="C173" s="163"/>
      <c r="D173" s="163"/>
      <c r="E173" s="164"/>
      <c r="F173" s="140"/>
      <c r="G173" s="140"/>
      <c r="H173" s="140"/>
      <c r="I173" s="140"/>
      <c r="J173" s="140"/>
      <c r="K173" s="140"/>
      <c r="L173" s="125"/>
      <c r="M173" s="110"/>
      <c r="N173" s="110"/>
      <c r="O173" s="111"/>
      <c r="P173" s="111"/>
      <c r="Q173" s="112"/>
      <c r="R173" s="112"/>
    </row>
    <row r="174" spans="1:18" s="15" customFormat="1" ht="21.75" customHeight="1" x14ac:dyDescent="0.35">
      <c r="A174" s="10" t="s">
        <v>6</v>
      </c>
      <c r="B174" s="10"/>
      <c r="C174" s="10" t="s">
        <v>5</v>
      </c>
      <c r="D174" s="10" t="s">
        <v>4</v>
      </c>
      <c r="E174" s="9" t="s">
        <v>3</v>
      </c>
      <c r="F174" s="141" t="s">
        <v>2</v>
      </c>
      <c r="G174" s="141"/>
      <c r="H174" s="141"/>
      <c r="I174" s="141"/>
      <c r="J174" s="141"/>
      <c r="K174" s="141" t="s">
        <v>1</v>
      </c>
      <c r="L174" s="125"/>
      <c r="M174" s="110"/>
      <c r="N174" s="110"/>
      <c r="O174" s="111"/>
      <c r="P174" s="111"/>
      <c r="Q174" s="112"/>
      <c r="R174" s="112"/>
    </row>
    <row r="175" spans="1:18" s="15" customFormat="1" ht="18" x14ac:dyDescent="0.35">
      <c r="A175" s="14">
        <v>1</v>
      </c>
      <c r="B175" s="14"/>
      <c r="C175" s="7" t="s">
        <v>24</v>
      </c>
      <c r="D175" s="18" t="s">
        <v>0</v>
      </c>
      <c r="E175" s="17">
        <v>46</v>
      </c>
      <c r="F175" s="130">
        <f t="shared" ref="F175:F180" si="28">G175+H175+I175+J175</f>
        <v>0</v>
      </c>
      <c r="G175" s="11">
        <f t="shared" ref="G175:G180" si="29">O175</f>
        <v>0</v>
      </c>
      <c r="H175" s="11">
        <f t="shared" ref="H175:H180" si="30">Q175</f>
        <v>0</v>
      </c>
      <c r="I175" s="11">
        <v>0</v>
      </c>
      <c r="J175" s="11">
        <v>0</v>
      </c>
      <c r="K175" s="137">
        <f t="shared" ref="K175:K180" si="31">F175*E175</f>
        <v>0</v>
      </c>
      <c r="L175" s="125"/>
      <c r="M175" s="110"/>
      <c r="N175" s="110"/>
      <c r="O175" s="111"/>
      <c r="P175" s="111"/>
      <c r="Q175" s="112"/>
      <c r="R175" s="112"/>
    </row>
    <row r="176" spans="1:18" s="15" customFormat="1" ht="18" x14ac:dyDescent="0.35">
      <c r="A176" s="14">
        <v>2</v>
      </c>
      <c r="B176" s="14"/>
      <c r="C176" s="7" t="s">
        <v>23</v>
      </c>
      <c r="D176" s="18" t="s">
        <v>0</v>
      </c>
      <c r="E176" s="17">
        <v>1</v>
      </c>
      <c r="F176" s="130">
        <f t="shared" si="28"/>
        <v>0</v>
      </c>
      <c r="G176" s="11">
        <f t="shared" si="29"/>
        <v>0</v>
      </c>
      <c r="H176" s="11">
        <f t="shared" si="30"/>
        <v>0</v>
      </c>
      <c r="I176" s="11">
        <v>0</v>
      </c>
      <c r="J176" s="11">
        <v>0</v>
      </c>
      <c r="K176" s="137">
        <f t="shared" si="31"/>
        <v>0</v>
      </c>
      <c r="L176" s="125"/>
      <c r="M176" s="110"/>
      <c r="N176" s="110"/>
      <c r="O176" s="111"/>
      <c r="P176" s="111"/>
      <c r="Q176" s="112"/>
      <c r="R176" s="112"/>
    </row>
    <row r="177" spans="1:18" s="15" customFormat="1" ht="18" x14ac:dyDescent="0.35">
      <c r="A177" s="14">
        <v>3</v>
      </c>
      <c r="B177" s="14"/>
      <c r="C177" s="7" t="s">
        <v>22</v>
      </c>
      <c r="D177" s="18" t="s">
        <v>0</v>
      </c>
      <c r="E177" s="17">
        <v>10</v>
      </c>
      <c r="F177" s="130">
        <f t="shared" si="28"/>
        <v>0</v>
      </c>
      <c r="G177" s="11">
        <f t="shared" si="29"/>
        <v>0</v>
      </c>
      <c r="H177" s="11">
        <f t="shared" si="30"/>
        <v>0</v>
      </c>
      <c r="I177" s="11">
        <v>0</v>
      </c>
      <c r="J177" s="11">
        <v>0</v>
      </c>
      <c r="K177" s="137">
        <f t="shared" si="31"/>
        <v>0</v>
      </c>
      <c r="L177" s="125"/>
      <c r="M177" s="110"/>
      <c r="N177" s="110"/>
      <c r="O177" s="111"/>
      <c r="P177" s="111"/>
      <c r="Q177" s="112"/>
      <c r="R177" s="112"/>
    </row>
    <row r="178" spans="1:18" s="15" customFormat="1" ht="18" x14ac:dyDescent="0.35">
      <c r="A178" s="14">
        <v>5</v>
      </c>
      <c r="B178" s="14"/>
      <c r="C178" s="7" t="s">
        <v>21</v>
      </c>
      <c r="D178" s="18" t="s">
        <v>0</v>
      </c>
      <c r="E178" s="17">
        <v>5</v>
      </c>
      <c r="F178" s="130">
        <f t="shared" si="28"/>
        <v>0</v>
      </c>
      <c r="G178" s="11">
        <f t="shared" si="29"/>
        <v>0</v>
      </c>
      <c r="H178" s="11">
        <f t="shared" si="30"/>
        <v>0</v>
      </c>
      <c r="I178" s="11">
        <v>0</v>
      </c>
      <c r="J178" s="11">
        <v>0</v>
      </c>
      <c r="K178" s="137">
        <f t="shared" si="31"/>
        <v>0</v>
      </c>
      <c r="L178" s="125"/>
      <c r="M178" s="110"/>
      <c r="N178" s="110"/>
      <c r="O178" s="111"/>
      <c r="P178" s="111"/>
      <c r="Q178" s="112"/>
      <c r="R178" s="112"/>
    </row>
    <row r="179" spans="1:18" s="15" customFormat="1" ht="18" x14ac:dyDescent="0.35">
      <c r="A179" s="14">
        <v>6</v>
      </c>
      <c r="B179" s="14"/>
      <c r="C179" s="7" t="s">
        <v>20</v>
      </c>
      <c r="D179" s="18" t="s">
        <v>0</v>
      </c>
      <c r="E179" s="17">
        <v>3</v>
      </c>
      <c r="F179" s="130">
        <f t="shared" si="28"/>
        <v>0</v>
      </c>
      <c r="G179" s="11">
        <f t="shared" si="29"/>
        <v>0</v>
      </c>
      <c r="H179" s="11">
        <f t="shared" si="30"/>
        <v>0</v>
      </c>
      <c r="I179" s="11">
        <v>0</v>
      </c>
      <c r="J179" s="11">
        <v>0</v>
      </c>
      <c r="K179" s="137">
        <f t="shared" si="31"/>
        <v>0</v>
      </c>
      <c r="L179" s="125"/>
      <c r="M179" s="110"/>
      <c r="N179" s="110"/>
      <c r="O179" s="111"/>
      <c r="P179" s="111"/>
      <c r="Q179" s="112"/>
      <c r="R179" s="112"/>
    </row>
    <row r="180" spans="1:18" s="15" customFormat="1" ht="18" x14ac:dyDescent="0.35">
      <c r="A180" s="14">
        <v>7</v>
      </c>
      <c r="B180" s="14"/>
      <c r="C180" s="7" t="s">
        <v>19</v>
      </c>
      <c r="D180" s="18" t="s">
        <v>18</v>
      </c>
      <c r="E180" s="17">
        <v>1200</v>
      </c>
      <c r="F180" s="130">
        <f t="shared" si="28"/>
        <v>0</v>
      </c>
      <c r="G180" s="11">
        <f t="shared" si="29"/>
        <v>0</v>
      </c>
      <c r="H180" s="11">
        <f t="shared" si="30"/>
        <v>0</v>
      </c>
      <c r="I180" s="11">
        <v>0</v>
      </c>
      <c r="J180" s="11">
        <v>0</v>
      </c>
      <c r="K180" s="137">
        <f t="shared" si="31"/>
        <v>0</v>
      </c>
      <c r="L180" s="125"/>
      <c r="M180" s="110"/>
      <c r="N180" s="110"/>
      <c r="O180" s="111"/>
      <c r="P180" s="111"/>
      <c r="Q180" s="112"/>
      <c r="R180" s="112"/>
    </row>
    <row r="181" spans="1:18" s="15" customFormat="1" ht="18" x14ac:dyDescent="0.35">
      <c r="A181" s="6"/>
      <c r="B181" s="6"/>
      <c r="C181" s="6" t="s">
        <v>17</v>
      </c>
      <c r="D181" s="6"/>
      <c r="E181" s="5"/>
      <c r="F181" s="140"/>
      <c r="G181" s="140"/>
      <c r="H181" s="140"/>
      <c r="I181" s="140"/>
      <c r="J181" s="140"/>
      <c r="K181" s="148">
        <f>SUM(K175:K180)</f>
        <v>0</v>
      </c>
      <c r="L181" s="125"/>
      <c r="M181" s="110"/>
      <c r="N181" s="110"/>
      <c r="O181" s="111"/>
      <c r="P181" s="111"/>
      <c r="Q181" s="112"/>
      <c r="R181" s="112"/>
    </row>
    <row r="182" spans="1:18" x14ac:dyDescent="0.35">
      <c r="F182" s="138"/>
      <c r="G182" s="139"/>
      <c r="H182" s="139"/>
      <c r="I182" s="139"/>
      <c r="J182" s="139"/>
      <c r="K182" s="138"/>
      <c r="M182" s="110"/>
      <c r="N182" s="110"/>
      <c r="O182" s="111"/>
      <c r="P182" s="111"/>
      <c r="Q182" s="112"/>
      <c r="R182" s="112"/>
    </row>
    <row r="183" spans="1:18" ht="18" x14ac:dyDescent="0.35">
      <c r="A183" s="163" t="s">
        <v>16</v>
      </c>
      <c r="B183" s="163"/>
      <c r="C183" s="163"/>
      <c r="D183" s="163"/>
      <c r="E183" s="164"/>
      <c r="F183" s="138"/>
      <c r="G183" s="139"/>
      <c r="H183" s="139"/>
      <c r="I183" s="139"/>
      <c r="J183" s="139"/>
      <c r="K183" s="138"/>
      <c r="M183" s="110"/>
      <c r="N183" s="110"/>
      <c r="O183" s="111"/>
      <c r="P183" s="111"/>
      <c r="Q183" s="112"/>
      <c r="R183" s="112"/>
    </row>
    <row r="184" spans="1:18" ht="24" customHeight="1" x14ac:dyDescent="0.35">
      <c r="A184" s="10" t="s">
        <v>6</v>
      </c>
      <c r="B184" s="10"/>
      <c r="C184" s="10" t="s">
        <v>5</v>
      </c>
      <c r="D184" s="10" t="s">
        <v>4</v>
      </c>
      <c r="E184" s="9" t="s">
        <v>3</v>
      </c>
      <c r="F184" s="141" t="s">
        <v>2</v>
      </c>
      <c r="G184" s="141"/>
      <c r="H184" s="141"/>
      <c r="I184" s="141"/>
      <c r="J184" s="141"/>
      <c r="K184" s="141" t="s">
        <v>1</v>
      </c>
      <c r="M184" s="110"/>
      <c r="N184" s="110"/>
      <c r="O184" s="111"/>
      <c r="P184" s="111"/>
      <c r="Q184" s="112"/>
      <c r="R184" s="112"/>
    </row>
    <row r="185" spans="1:18" ht="42.5" x14ac:dyDescent="0.35">
      <c r="A185" s="14">
        <v>1</v>
      </c>
      <c r="B185" s="14"/>
      <c r="C185" s="7" t="s">
        <v>15</v>
      </c>
      <c r="D185" s="13" t="s">
        <v>10</v>
      </c>
      <c r="E185" s="12">
        <v>350</v>
      </c>
      <c r="F185" s="130">
        <f t="shared" ref="F185:F191" si="32">G185+H185+I185+J185</f>
        <v>0</v>
      </c>
      <c r="G185" s="11">
        <f t="shared" ref="G185:G191" si="33">O185</f>
        <v>0</v>
      </c>
      <c r="H185" s="11">
        <f t="shared" ref="H185:H191" si="34">Q185</f>
        <v>0</v>
      </c>
      <c r="I185" s="11">
        <v>0</v>
      </c>
      <c r="J185" s="11">
        <v>0</v>
      </c>
      <c r="K185" s="137">
        <f t="shared" ref="K185:K191" si="35">F185*E185</f>
        <v>0</v>
      </c>
      <c r="M185" s="110"/>
      <c r="N185" s="110"/>
      <c r="O185" s="111"/>
      <c r="P185" s="111"/>
      <c r="Q185" s="112"/>
      <c r="R185" s="112"/>
    </row>
    <row r="186" spans="1:18" x14ac:dyDescent="0.35">
      <c r="A186" s="14">
        <v>2</v>
      </c>
      <c r="B186" s="14"/>
      <c r="C186" s="7" t="s">
        <v>14</v>
      </c>
      <c r="D186" s="13" t="s">
        <v>0</v>
      </c>
      <c r="E186" s="12">
        <v>5</v>
      </c>
      <c r="F186" s="130">
        <f t="shared" si="32"/>
        <v>0</v>
      </c>
      <c r="G186" s="11">
        <f t="shared" si="33"/>
        <v>0</v>
      </c>
      <c r="H186" s="11">
        <f t="shared" si="34"/>
        <v>0</v>
      </c>
      <c r="I186" s="11">
        <v>0</v>
      </c>
      <c r="J186" s="11">
        <v>0</v>
      </c>
      <c r="K186" s="137">
        <f t="shared" si="35"/>
        <v>0</v>
      </c>
      <c r="M186" s="110"/>
      <c r="N186" s="110"/>
      <c r="O186" s="111"/>
      <c r="P186" s="111"/>
      <c r="Q186" s="112"/>
      <c r="R186" s="112"/>
    </row>
    <row r="187" spans="1:18" ht="49.5" customHeight="1" x14ac:dyDescent="0.35">
      <c r="A187" s="14">
        <v>3</v>
      </c>
      <c r="B187" s="7"/>
      <c r="C187" s="7" t="s">
        <v>13</v>
      </c>
      <c r="D187" s="8" t="s">
        <v>0</v>
      </c>
      <c r="E187" s="12">
        <v>1</v>
      </c>
      <c r="F187" s="130">
        <f t="shared" si="32"/>
        <v>0</v>
      </c>
      <c r="G187" s="11">
        <f t="shared" si="33"/>
        <v>0</v>
      </c>
      <c r="H187" s="11">
        <f t="shared" si="34"/>
        <v>0</v>
      </c>
      <c r="I187" s="11">
        <v>0</v>
      </c>
      <c r="J187" s="11">
        <v>0</v>
      </c>
      <c r="K187" s="137">
        <f t="shared" si="35"/>
        <v>0</v>
      </c>
      <c r="M187" s="110"/>
      <c r="N187" s="110"/>
      <c r="O187" s="111"/>
      <c r="P187" s="111"/>
      <c r="Q187" s="112"/>
      <c r="R187" s="112"/>
    </row>
    <row r="188" spans="1:18" x14ac:dyDescent="0.35">
      <c r="A188" s="14">
        <v>4</v>
      </c>
      <c r="B188" s="14"/>
      <c r="C188" s="7" t="s">
        <v>12</v>
      </c>
      <c r="D188" s="13" t="s">
        <v>0</v>
      </c>
      <c r="E188" s="12">
        <v>10</v>
      </c>
      <c r="F188" s="130">
        <f t="shared" si="32"/>
        <v>0</v>
      </c>
      <c r="G188" s="11">
        <f t="shared" si="33"/>
        <v>0</v>
      </c>
      <c r="H188" s="11">
        <f t="shared" si="34"/>
        <v>0</v>
      </c>
      <c r="I188" s="11">
        <v>0</v>
      </c>
      <c r="J188" s="11">
        <v>0</v>
      </c>
      <c r="K188" s="137">
        <f t="shared" si="35"/>
        <v>0</v>
      </c>
      <c r="M188" s="110"/>
      <c r="N188" s="110"/>
      <c r="O188" s="111"/>
      <c r="P188" s="111"/>
      <c r="Q188" s="112"/>
      <c r="R188" s="112"/>
    </row>
    <row r="189" spans="1:18" ht="56.5" x14ac:dyDescent="0.35">
      <c r="A189" s="14">
        <v>5</v>
      </c>
      <c r="B189" s="14"/>
      <c r="C189" s="7" t="s">
        <v>11</v>
      </c>
      <c r="D189" s="13" t="s">
        <v>10</v>
      </c>
      <c r="E189" s="12">
        <v>200</v>
      </c>
      <c r="F189" s="130">
        <f t="shared" si="32"/>
        <v>0</v>
      </c>
      <c r="G189" s="11">
        <f t="shared" si="33"/>
        <v>0</v>
      </c>
      <c r="H189" s="11">
        <f t="shared" si="34"/>
        <v>0</v>
      </c>
      <c r="I189" s="11">
        <v>0</v>
      </c>
      <c r="J189" s="11">
        <v>0</v>
      </c>
      <c r="K189" s="137">
        <f t="shared" si="35"/>
        <v>0</v>
      </c>
      <c r="M189" s="110"/>
      <c r="N189" s="110"/>
      <c r="O189" s="111"/>
      <c r="P189" s="111"/>
      <c r="Q189" s="112"/>
      <c r="R189" s="112"/>
    </row>
    <row r="190" spans="1:18" x14ac:dyDescent="0.35">
      <c r="A190" s="14">
        <v>6</v>
      </c>
      <c r="B190" s="14"/>
      <c r="C190" s="7" t="s">
        <v>9</v>
      </c>
      <c r="D190" s="13" t="s">
        <v>0</v>
      </c>
      <c r="E190" s="12">
        <v>1</v>
      </c>
      <c r="F190" s="130">
        <f t="shared" si="32"/>
        <v>0</v>
      </c>
      <c r="G190" s="11">
        <f t="shared" si="33"/>
        <v>0</v>
      </c>
      <c r="H190" s="11">
        <f t="shared" si="34"/>
        <v>0</v>
      </c>
      <c r="I190" s="11">
        <v>0</v>
      </c>
      <c r="J190" s="11">
        <v>0</v>
      </c>
      <c r="K190" s="137">
        <f t="shared" si="35"/>
        <v>0</v>
      </c>
      <c r="M190" s="110"/>
      <c r="N190" s="110"/>
      <c r="O190" s="111"/>
      <c r="P190" s="111"/>
      <c r="Q190" s="112"/>
      <c r="R190" s="112"/>
    </row>
    <row r="191" spans="1:18" x14ac:dyDescent="0.35">
      <c r="A191" s="14">
        <v>7</v>
      </c>
      <c r="B191" s="14"/>
      <c r="C191" s="7" t="s">
        <v>8</v>
      </c>
      <c r="D191" s="13" t="s">
        <v>0</v>
      </c>
      <c r="E191" s="12">
        <v>1</v>
      </c>
      <c r="F191" s="130">
        <f t="shared" si="32"/>
        <v>0</v>
      </c>
      <c r="G191" s="11">
        <f t="shared" si="33"/>
        <v>0</v>
      </c>
      <c r="H191" s="11">
        <f t="shared" si="34"/>
        <v>0</v>
      </c>
      <c r="I191" s="11">
        <v>0</v>
      </c>
      <c r="J191" s="11">
        <v>0</v>
      </c>
      <c r="K191" s="137">
        <f t="shared" si="35"/>
        <v>0</v>
      </c>
      <c r="M191" s="110"/>
      <c r="N191" s="110"/>
      <c r="O191" s="111"/>
      <c r="P191" s="111"/>
      <c r="Q191" s="112"/>
      <c r="R191" s="112"/>
    </row>
    <row r="192" spans="1:18" ht="16.5" customHeight="1" x14ac:dyDescent="0.35">
      <c r="A192" s="160" t="s">
        <v>7</v>
      </c>
      <c r="B192" s="160"/>
      <c r="C192" s="160"/>
      <c r="D192" s="160"/>
      <c r="E192" s="161"/>
      <c r="F192" s="142"/>
      <c r="G192" s="143"/>
      <c r="H192" s="143"/>
      <c r="I192" s="143"/>
      <c r="J192" s="143"/>
      <c r="K192" s="137">
        <f>SUM(K185:K191)</f>
        <v>0</v>
      </c>
      <c r="N192" s="106"/>
      <c r="P192" s="106"/>
      <c r="R192" s="106"/>
    </row>
    <row r="193" spans="6:11" ht="15" thickBot="1" x14ac:dyDescent="0.4"/>
    <row r="194" spans="6:11" ht="15.5" thickBot="1" x14ac:dyDescent="0.4">
      <c r="F194" s="144"/>
      <c r="G194" s="154" t="s">
        <v>218</v>
      </c>
      <c r="H194" s="155"/>
      <c r="I194" s="155"/>
      <c r="J194" s="155"/>
      <c r="K194" s="152">
        <f>K37+K52+K74+K110+K139+K160+K171+K181+K192</f>
        <v>0</v>
      </c>
    </row>
    <row r="195" spans="6:11" ht="15.5" x14ac:dyDescent="0.35">
      <c r="F195" s="144"/>
      <c r="G195" s="145"/>
      <c r="H195" s="145"/>
      <c r="I195" s="145"/>
      <c r="J195" s="145"/>
      <c r="K195" s="146"/>
    </row>
    <row r="197" spans="6:11" ht="15.5" x14ac:dyDescent="0.35">
      <c r="J197" s="145"/>
      <c r="K197" s="146"/>
    </row>
  </sheetData>
  <mergeCells count="23">
    <mergeCell ref="A4:G7"/>
    <mergeCell ref="A13:E13"/>
    <mergeCell ref="F13:K13"/>
    <mergeCell ref="B15:C15"/>
    <mergeCell ref="A162:E162"/>
    <mergeCell ref="A183:E183"/>
    <mergeCell ref="A173:E173"/>
    <mergeCell ref="L30:L34"/>
    <mergeCell ref="G194:J194"/>
    <mergeCell ref="C1:F1"/>
    <mergeCell ref="G1:H1"/>
    <mergeCell ref="A192:E192"/>
    <mergeCell ref="A8:K8"/>
    <mergeCell ref="A9:K9"/>
    <mergeCell ref="A76:E76"/>
    <mergeCell ref="A112:E112"/>
    <mergeCell ref="A141:E141"/>
    <mergeCell ref="A54:E54"/>
    <mergeCell ref="A74:E74"/>
    <mergeCell ref="A39:E39"/>
    <mergeCell ref="A52:E52"/>
    <mergeCell ref="A37:E37"/>
    <mergeCell ref="A38:E38"/>
  </mergeCells>
  <pageMargins left="0.7" right="0.7" top="0.75" bottom="0.8" header="0.51180555555555496" footer="0.51180555555555496"/>
  <pageSetup scale="98" firstPageNumber="0" fitToHeight="0"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72063-B7AB-4C3E-A9D1-B77CAF0E2BE5}">
  <sheetPr>
    <tabColor rgb="FFFFFF00"/>
    <pageSetUpPr fitToPage="1"/>
  </sheetPr>
  <dimension ref="A1:AMK155"/>
  <sheetViews>
    <sheetView zoomScaleNormal="100" workbookViewId="0">
      <selection activeCell="O32" activeCellId="1" sqref="M32:M38 O32:O38"/>
    </sheetView>
  </sheetViews>
  <sheetFormatPr defaultColWidth="8" defaultRowHeight="15.5" x14ac:dyDescent="0.35"/>
  <cols>
    <col min="1" max="1" width="8" style="1"/>
    <col min="2" max="2" width="7" style="57" customWidth="1"/>
    <col min="3" max="3" width="63" style="57" customWidth="1"/>
    <col min="4" max="5" width="8.54296875" style="57" customWidth="1"/>
    <col min="6" max="7" width="14.7265625" style="57" customWidth="1"/>
    <col min="8" max="8" width="13.453125" style="57" customWidth="1"/>
    <col min="9" max="9" width="8.54296875" style="57" customWidth="1"/>
    <col min="10" max="10" width="13.453125" style="57" customWidth="1"/>
    <col min="11" max="11" width="14.453125" style="57" customWidth="1"/>
    <col min="12" max="12" width="12.7265625" style="57" customWidth="1"/>
    <col min="13" max="13" width="14.26953125" style="57" customWidth="1"/>
    <col min="14" max="14" width="15.7265625" style="57" customWidth="1"/>
    <col min="15" max="15" width="15.26953125" style="57" customWidth="1"/>
    <col min="16" max="1023" width="8" style="57"/>
    <col min="1024" max="16384" width="8" style="1"/>
  </cols>
  <sheetData>
    <row r="1" spans="1:19" ht="71.25" customHeight="1" x14ac:dyDescent="0.35">
      <c r="C1" s="156" t="s">
        <v>224</v>
      </c>
      <c r="D1" s="157"/>
      <c r="E1" s="157"/>
      <c r="F1" s="157"/>
      <c r="G1" s="158" t="s">
        <v>225</v>
      </c>
      <c r="H1" s="159"/>
    </row>
    <row r="2" spans="1:19" x14ac:dyDescent="0.35">
      <c r="B2" s="99"/>
      <c r="C2" s="100" t="s">
        <v>201</v>
      </c>
      <c r="D2" s="101"/>
      <c r="E2" s="101"/>
      <c r="F2" s="99"/>
      <c r="G2" s="99"/>
      <c r="H2" s="109"/>
      <c r="I2" s="99"/>
      <c r="J2" s="99"/>
    </row>
    <row r="3" spans="1:19" ht="21" customHeight="1" x14ac:dyDescent="0.35">
      <c r="B3" s="99"/>
      <c r="C3" s="99" t="s">
        <v>200</v>
      </c>
      <c r="D3" s="102"/>
      <c r="E3" s="102"/>
      <c r="F3" s="99"/>
      <c r="G3" s="99"/>
      <c r="H3" s="52" t="s">
        <v>180</v>
      </c>
      <c r="I3" s="99"/>
      <c r="J3" s="99"/>
    </row>
    <row r="4" spans="1:19" ht="41.25" customHeight="1" x14ac:dyDescent="0.35">
      <c r="B4" s="178" t="s">
        <v>179</v>
      </c>
      <c r="C4" s="178"/>
      <c r="D4" s="178"/>
      <c r="E4" s="178"/>
      <c r="F4" s="178"/>
      <c r="G4" s="120"/>
      <c r="H4" s="108"/>
      <c r="I4" s="99"/>
      <c r="J4" s="99"/>
      <c r="K4" s="107"/>
      <c r="L4" s="106"/>
      <c r="N4" s="105"/>
    </row>
    <row r="5" spans="1:19" ht="21" customHeight="1" x14ac:dyDescent="0.35">
      <c r="B5" s="178"/>
      <c r="C5" s="178"/>
      <c r="D5" s="178"/>
      <c r="E5" s="178"/>
      <c r="F5" s="178"/>
      <c r="G5" s="120"/>
      <c r="H5" s="49" t="s">
        <v>178</v>
      </c>
      <c r="I5" s="104"/>
      <c r="J5" s="99"/>
    </row>
    <row r="6" spans="1:19" ht="16.5" customHeight="1" x14ac:dyDescent="0.35">
      <c r="B6" s="178"/>
      <c r="C6" s="178"/>
      <c r="D6" s="178"/>
      <c r="E6" s="178"/>
      <c r="F6" s="178"/>
      <c r="G6" s="120"/>
      <c r="H6" s="49" t="s">
        <v>177</v>
      </c>
      <c r="I6" s="103"/>
      <c r="J6" s="99"/>
    </row>
    <row r="7" spans="1:19" x14ac:dyDescent="0.35">
      <c r="B7" s="178"/>
      <c r="C7" s="178"/>
      <c r="D7" s="178"/>
      <c r="E7" s="178"/>
      <c r="F7" s="178"/>
      <c r="G7" s="120"/>
      <c r="H7" s="49" t="s">
        <v>176</v>
      </c>
      <c r="I7" s="99"/>
      <c r="J7" s="99"/>
    </row>
    <row r="8" spans="1:19" ht="16.5" customHeight="1" x14ac:dyDescent="0.35">
      <c r="B8" s="99"/>
      <c r="C8" s="157" t="s">
        <v>175</v>
      </c>
      <c r="D8" s="157"/>
      <c r="E8" s="157"/>
      <c r="F8" s="157"/>
      <c r="G8" s="157"/>
      <c r="H8" s="157"/>
      <c r="J8" s="99"/>
    </row>
    <row r="9" spans="1:19" ht="16.5" customHeight="1" x14ac:dyDescent="0.35">
      <c r="B9" s="99"/>
      <c r="C9" s="157" t="s">
        <v>199</v>
      </c>
      <c r="D9" s="157"/>
      <c r="E9" s="157"/>
      <c r="F9" s="157"/>
      <c r="G9" s="157"/>
      <c r="H9" s="157"/>
      <c r="J9" s="99"/>
    </row>
    <row r="10" spans="1:19" ht="16.5" customHeight="1" x14ac:dyDescent="0.35">
      <c r="B10" s="99"/>
      <c r="C10" s="157" t="s">
        <v>198</v>
      </c>
      <c r="D10" s="157"/>
      <c r="E10" s="157"/>
      <c r="F10" s="157"/>
      <c r="G10" s="157"/>
      <c r="H10" s="157"/>
      <c r="J10" s="99"/>
    </row>
    <row r="11" spans="1:19" ht="32.25" customHeight="1" x14ac:dyDescent="0.35">
      <c r="A11" s="177"/>
      <c r="B11" s="177" t="s">
        <v>197</v>
      </c>
      <c r="C11" s="180" t="s">
        <v>196</v>
      </c>
      <c r="D11" s="98" t="s">
        <v>195</v>
      </c>
      <c r="E11" s="184" t="s">
        <v>222</v>
      </c>
      <c r="F11" s="97" t="s">
        <v>194</v>
      </c>
      <c r="G11" s="149" t="s">
        <v>223</v>
      </c>
      <c r="H11" s="181" t="s">
        <v>221</v>
      </c>
    </row>
    <row r="12" spans="1:19" ht="20.25" customHeight="1" x14ac:dyDescent="0.35">
      <c r="A12" s="177"/>
      <c r="B12" s="177"/>
      <c r="C12" s="180"/>
      <c r="D12" s="96" t="s">
        <v>193</v>
      </c>
      <c r="E12" s="185"/>
      <c r="F12" s="95" t="s">
        <v>220</v>
      </c>
      <c r="G12" s="95" t="s">
        <v>220</v>
      </c>
      <c r="H12" s="182"/>
    </row>
    <row r="13" spans="1:19" ht="12" customHeight="1" x14ac:dyDescent="0.35">
      <c r="A13" s="177"/>
      <c r="B13" s="177"/>
      <c r="C13" s="180"/>
      <c r="D13" s="94"/>
      <c r="E13" s="94"/>
      <c r="F13" s="93"/>
      <c r="G13" s="93"/>
      <c r="H13" s="183"/>
      <c r="J13" s="110" t="s">
        <v>202</v>
      </c>
      <c r="K13" s="110" t="s">
        <v>203</v>
      </c>
      <c r="L13" s="111" t="s">
        <v>204</v>
      </c>
      <c r="M13" s="111" t="s">
        <v>205</v>
      </c>
      <c r="N13" s="112" t="s">
        <v>206</v>
      </c>
      <c r="O13" s="112" t="s">
        <v>207</v>
      </c>
    </row>
    <row r="14" spans="1:19" ht="18" customHeight="1" x14ac:dyDescent="0.35">
      <c r="A14" s="4"/>
      <c r="B14" s="92">
        <v>0</v>
      </c>
      <c r="C14" s="67">
        <v>1</v>
      </c>
      <c r="D14" s="67">
        <v>2</v>
      </c>
      <c r="E14" s="67"/>
      <c r="F14" s="67">
        <v>3</v>
      </c>
      <c r="G14" s="67">
        <v>4</v>
      </c>
      <c r="H14" s="91">
        <v>5</v>
      </c>
      <c r="J14" s="113"/>
      <c r="K14" s="113"/>
      <c r="L14" s="114"/>
      <c r="M14" s="114"/>
      <c r="N14" s="115"/>
      <c r="O14" s="115"/>
    </row>
    <row r="15" spans="1:19" ht="25.5" hidden="1" customHeight="1" x14ac:dyDescent="0.35">
      <c r="A15" s="4"/>
      <c r="B15" s="90"/>
      <c r="C15" s="77"/>
      <c r="D15" s="89"/>
      <c r="E15" s="89"/>
      <c r="F15" s="89"/>
      <c r="G15" s="89"/>
      <c r="H15" s="65"/>
      <c r="J15" s="113"/>
      <c r="K15" s="113"/>
      <c r="L15" s="114"/>
      <c r="M15" s="114"/>
      <c r="N15" s="115"/>
      <c r="O15" s="115"/>
    </row>
    <row r="16" spans="1:19" ht="0.75" hidden="1" customHeight="1" x14ac:dyDescent="0.35">
      <c r="A16" s="4"/>
      <c r="B16" s="72"/>
      <c r="C16" s="79"/>
      <c r="D16" s="81"/>
      <c r="E16" s="81"/>
      <c r="F16" s="81"/>
      <c r="G16" s="81"/>
      <c r="H16" s="81"/>
      <c r="J16" s="110">
        <v>0.72</v>
      </c>
      <c r="K16" s="110" t="e">
        <f>J16*#REF!</f>
        <v>#REF!</v>
      </c>
      <c r="L16" s="111">
        <f>J16*1.25</f>
        <v>0.89999999999999991</v>
      </c>
      <c r="M16" s="111" t="e">
        <f>L16*#REF!</f>
        <v>#REF!</v>
      </c>
      <c r="N16" s="112">
        <v>1.2</v>
      </c>
      <c r="O16" s="112" t="e">
        <f>N16*#REF!</f>
        <v>#REF!</v>
      </c>
      <c r="P16" s="59"/>
      <c r="Q16" s="59"/>
      <c r="R16" s="59"/>
      <c r="S16" s="59"/>
    </row>
    <row r="17" spans="1:1025" ht="3.75" hidden="1" customHeight="1" x14ac:dyDescent="0.35">
      <c r="A17" s="4"/>
      <c r="B17" s="88">
        <v>1</v>
      </c>
      <c r="C17" s="87"/>
      <c r="D17" s="86"/>
      <c r="E17" s="86"/>
      <c r="F17" s="86"/>
      <c r="G17" s="86"/>
      <c r="H17" s="70"/>
    </row>
    <row r="18" spans="1:1025" ht="133.5" hidden="1" customHeight="1" x14ac:dyDescent="0.35">
      <c r="A18" s="4"/>
      <c r="B18" s="85"/>
      <c r="C18" s="84"/>
      <c r="D18" s="83"/>
      <c r="E18" s="83"/>
      <c r="F18" s="83"/>
      <c r="G18" s="83"/>
      <c r="H18" s="77"/>
    </row>
    <row r="19" spans="1:1025" ht="126" hidden="1" customHeight="1" x14ac:dyDescent="0.35">
      <c r="A19" s="4"/>
      <c r="B19" s="80"/>
      <c r="C19" s="79"/>
      <c r="D19" s="78"/>
      <c r="E19" s="82"/>
      <c r="F19" s="82"/>
      <c r="G19" s="82"/>
      <c r="H19" s="77"/>
    </row>
    <row r="20" spans="1:1025" s="74" customFormat="1" ht="145.5" hidden="1" customHeight="1" x14ac:dyDescent="0.35">
      <c r="A20" s="76"/>
      <c r="B20" s="80"/>
      <c r="C20" s="79"/>
      <c r="D20" s="78"/>
      <c r="E20" s="78"/>
      <c r="F20" s="78"/>
      <c r="G20" s="78"/>
      <c r="H20" s="77"/>
      <c r="L20" s="57"/>
      <c r="M20" s="57"/>
      <c r="N20" s="57"/>
      <c r="O20" s="57"/>
    </row>
    <row r="21" spans="1:1025" s="74" customFormat="1" ht="39.75" hidden="1" customHeight="1" x14ac:dyDescent="0.35">
      <c r="A21" s="76"/>
      <c r="B21" s="80"/>
      <c r="C21" s="79"/>
      <c r="D21" s="78"/>
      <c r="E21" s="78"/>
      <c r="F21" s="78"/>
      <c r="G21" s="78"/>
      <c r="H21" s="77"/>
      <c r="L21" s="57"/>
      <c r="M21" s="57"/>
      <c r="N21" s="57"/>
      <c r="O21" s="57"/>
    </row>
    <row r="22" spans="1:1025" s="74" customFormat="1" ht="50.25" hidden="1" customHeight="1" x14ac:dyDescent="0.35">
      <c r="A22" s="76"/>
      <c r="B22" s="80"/>
      <c r="C22" s="79"/>
      <c r="D22" s="78"/>
      <c r="E22" s="78"/>
      <c r="F22" s="78"/>
      <c r="G22" s="78"/>
      <c r="H22" s="77"/>
      <c r="L22" s="57"/>
      <c r="M22" s="57"/>
      <c r="N22" s="57"/>
      <c r="O22" s="57"/>
    </row>
    <row r="23" spans="1:1025" s="74" customFormat="1" ht="33.75" hidden="1" customHeight="1" x14ac:dyDescent="0.35">
      <c r="A23" s="76"/>
      <c r="B23" s="80"/>
      <c r="C23" s="79"/>
      <c r="D23" s="78"/>
      <c r="E23" s="78"/>
      <c r="F23" s="78"/>
      <c r="G23" s="78"/>
      <c r="H23" s="77"/>
      <c r="L23" s="57"/>
      <c r="M23" s="57"/>
      <c r="N23" s="57"/>
      <c r="O23" s="57"/>
    </row>
    <row r="24" spans="1:1025" s="74" customFormat="1" ht="39.75" hidden="1" customHeight="1" x14ac:dyDescent="0.35">
      <c r="A24" s="76"/>
      <c r="B24" s="80"/>
      <c r="C24" s="79"/>
      <c r="D24" s="78"/>
      <c r="E24" s="78"/>
      <c r="F24" s="78"/>
      <c r="G24" s="78"/>
      <c r="H24" s="77"/>
      <c r="L24" s="57"/>
      <c r="M24" s="57"/>
      <c r="N24" s="57"/>
      <c r="O24" s="57"/>
    </row>
    <row r="25" spans="1:1025" s="74" customFormat="1" ht="38.25" hidden="1" customHeight="1" x14ac:dyDescent="0.35">
      <c r="A25" s="76"/>
      <c r="B25" s="80"/>
      <c r="C25" s="79"/>
      <c r="D25" s="78"/>
      <c r="E25" s="78"/>
      <c r="F25" s="78"/>
      <c r="G25" s="78"/>
      <c r="H25" s="77"/>
      <c r="L25" s="57"/>
      <c r="M25" s="57"/>
      <c r="N25" s="57"/>
      <c r="O25" s="57"/>
    </row>
    <row r="26" spans="1:1025" s="74" customFormat="1" ht="114.75" hidden="1" customHeight="1" x14ac:dyDescent="0.35">
      <c r="A26" s="76"/>
      <c r="B26" s="80"/>
      <c r="C26" s="79"/>
      <c r="D26" s="78"/>
      <c r="E26" s="78"/>
      <c r="F26" s="78"/>
      <c r="G26" s="78"/>
      <c r="H26" s="79"/>
      <c r="L26" s="57"/>
      <c r="M26" s="57"/>
      <c r="N26" s="57"/>
      <c r="O26" s="57"/>
    </row>
    <row r="27" spans="1:1025" s="74" customFormat="1" ht="39.75" hidden="1" customHeight="1" x14ac:dyDescent="0.35">
      <c r="A27" s="76"/>
      <c r="B27" s="80"/>
      <c r="C27" s="79"/>
      <c r="D27" s="81"/>
      <c r="E27" s="81"/>
      <c r="F27" s="81"/>
      <c r="G27" s="81"/>
      <c r="H27" s="81"/>
      <c r="L27" s="57"/>
      <c r="M27" s="57"/>
      <c r="N27" s="57"/>
      <c r="O27" s="57"/>
    </row>
    <row r="28" spans="1:1025" s="74" customFormat="1" ht="39.75" hidden="1" customHeight="1" x14ac:dyDescent="0.35">
      <c r="A28" s="76"/>
      <c r="B28" s="80"/>
      <c r="C28" s="79"/>
      <c r="D28" s="78"/>
      <c r="E28" s="78"/>
      <c r="F28" s="78"/>
      <c r="G28" s="78"/>
      <c r="H28" s="77"/>
      <c r="L28" s="57"/>
      <c r="M28" s="57"/>
      <c r="N28" s="57"/>
      <c r="O28" s="57"/>
    </row>
    <row r="29" spans="1:1025" s="74" customFormat="1" ht="39.75" hidden="1" customHeight="1" x14ac:dyDescent="0.35">
      <c r="A29" s="76"/>
      <c r="B29" s="80"/>
      <c r="C29" s="79"/>
      <c r="D29" s="78"/>
      <c r="E29" s="78"/>
      <c r="F29" s="78"/>
      <c r="G29" s="78"/>
      <c r="H29" s="77"/>
      <c r="L29" s="57"/>
      <c r="M29" s="57"/>
      <c r="N29" s="57"/>
      <c r="O29" s="57"/>
    </row>
    <row r="30" spans="1:1025" s="74" customFormat="1" ht="39.75" hidden="1" customHeight="1" x14ac:dyDescent="0.35">
      <c r="A30" s="76"/>
      <c r="B30" s="80"/>
      <c r="C30" s="79"/>
      <c r="D30" s="78"/>
      <c r="E30" s="78"/>
      <c r="F30" s="78"/>
      <c r="G30" s="78"/>
      <c r="H30" s="77"/>
      <c r="L30" s="57"/>
      <c r="M30" s="57"/>
      <c r="N30" s="57"/>
      <c r="O30" s="57"/>
    </row>
    <row r="31" spans="1:1025" s="74" customFormat="1" x14ac:dyDescent="0.35">
      <c r="A31" s="76"/>
      <c r="B31" s="72"/>
      <c r="C31" s="75" t="s">
        <v>192</v>
      </c>
      <c r="D31" s="68"/>
      <c r="E31" s="68"/>
      <c r="F31" s="68"/>
      <c r="G31" s="68"/>
      <c r="H31" s="68"/>
      <c r="L31" s="57"/>
      <c r="M31" s="57"/>
      <c r="N31" s="57"/>
      <c r="O31" s="57"/>
    </row>
    <row r="32" spans="1:1025" s="57" customFormat="1" x14ac:dyDescent="0.35">
      <c r="A32" s="7"/>
      <c r="B32" s="14">
        <v>1</v>
      </c>
      <c r="C32" s="7" t="s">
        <v>191</v>
      </c>
      <c r="D32" s="73" t="s">
        <v>0</v>
      </c>
      <c r="E32" s="73">
        <v>1</v>
      </c>
      <c r="F32" s="73">
        <f>L32</f>
        <v>3625</v>
      </c>
      <c r="G32" s="73">
        <f>N32</f>
        <v>200</v>
      </c>
      <c r="H32" s="11">
        <f>(F32+G32)*E32</f>
        <v>3825</v>
      </c>
      <c r="J32" s="110">
        <v>2900</v>
      </c>
      <c r="K32" s="110">
        <f t="shared" ref="K32:K38" si="0">J32*E32</f>
        <v>2900</v>
      </c>
      <c r="L32" s="111">
        <f>J32*1.25</f>
        <v>3625</v>
      </c>
      <c r="M32" s="111">
        <f t="shared" ref="M32:M38" si="1">L32*E32</f>
        <v>3625</v>
      </c>
      <c r="N32" s="112">
        <v>200</v>
      </c>
      <c r="O32" s="112">
        <f t="shared" ref="O32:O38" si="2">N32*E32</f>
        <v>200</v>
      </c>
      <c r="AMJ32" s="1"/>
      <c r="AMK32" s="1"/>
    </row>
    <row r="33" spans="1:1025" s="57" customFormat="1" x14ac:dyDescent="0.35">
      <c r="A33" s="7"/>
      <c r="B33" s="14">
        <v>2</v>
      </c>
      <c r="C33" s="7" t="s">
        <v>190</v>
      </c>
      <c r="D33" s="73" t="s">
        <v>0</v>
      </c>
      <c r="E33" s="73">
        <v>1</v>
      </c>
      <c r="F33" s="73">
        <f t="shared" ref="F33:F38" si="3">L33</f>
        <v>1562.5</v>
      </c>
      <c r="G33" s="73">
        <f t="shared" ref="G33:G38" si="4">N33</f>
        <v>100</v>
      </c>
      <c r="H33" s="11">
        <f t="shared" ref="H33:H38" si="5">(F33+G33)*E33</f>
        <v>1662.5</v>
      </c>
      <c r="J33" s="110">
        <v>1250</v>
      </c>
      <c r="K33" s="110">
        <f t="shared" si="0"/>
        <v>1250</v>
      </c>
      <c r="L33" s="111">
        <f>J33*1.25</f>
        <v>1562.5</v>
      </c>
      <c r="M33" s="111">
        <f t="shared" si="1"/>
        <v>1562.5</v>
      </c>
      <c r="N33" s="112">
        <v>100</v>
      </c>
      <c r="O33" s="112">
        <f t="shared" si="2"/>
        <v>100</v>
      </c>
      <c r="AMJ33" s="1"/>
      <c r="AMK33" s="1"/>
    </row>
    <row r="34" spans="1:1025" s="57" customFormat="1" x14ac:dyDescent="0.35">
      <c r="A34" s="7"/>
      <c r="B34" s="14">
        <v>3</v>
      </c>
      <c r="C34" s="7" t="s">
        <v>189</v>
      </c>
      <c r="D34" s="73" t="s">
        <v>0</v>
      </c>
      <c r="E34" s="73">
        <v>2</v>
      </c>
      <c r="F34" s="73">
        <f t="shared" si="3"/>
        <v>2975</v>
      </c>
      <c r="G34" s="73">
        <f t="shared" si="4"/>
        <v>100</v>
      </c>
      <c r="H34" s="11">
        <f t="shared" si="5"/>
        <v>6150</v>
      </c>
      <c r="J34" s="110">
        <v>2380</v>
      </c>
      <c r="K34" s="110">
        <f t="shared" si="0"/>
        <v>4760</v>
      </c>
      <c r="L34" s="111">
        <f t="shared" ref="L34:L38" si="6">J34*1.25</f>
        <v>2975</v>
      </c>
      <c r="M34" s="111">
        <f t="shared" si="1"/>
        <v>5950</v>
      </c>
      <c r="N34" s="112">
        <v>100</v>
      </c>
      <c r="O34" s="112">
        <f t="shared" si="2"/>
        <v>200</v>
      </c>
      <c r="AMJ34" s="1"/>
      <c r="AMK34" s="1"/>
    </row>
    <row r="35" spans="1:1025" s="57" customFormat="1" x14ac:dyDescent="0.35">
      <c r="A35" s="7"/>
      <c r="B35" s="14">
        <v>4</v>
      </c>
      <c r="C35" s="7" t="s">
        <v>188</v>
      </c>
      <c r="D35" s="73" t="s">
        <v>0</v>
      </c>
      <c r="E35" s="73">
        <v>1</v>
      </c>
      <c r="F35" s="73">
        <f t="shared" si="3"/>
        <v>687.5</v>
      </c>
      <c r="G35" s="73">
        <f t="shared" si="4"/>
        <v>50</v>
      </c>
      <c r="H35" s="11">
        <f t="shared" si="5"/>
        <v>737.5</v>
      </c>
      <c r="J35" s="110">
        <v>550</v>
      </c>
      <c r="K35" s="110">
        <f t="shared" si="0"/>
        <v>550</v>
      </c>
      <c r="L35" s="111">
        <f t="shared" si="6"/>
        <v>687.5</v>
      </c>
      <c r="M35" s="111">
        <f t="shared" si="1"/>
        <v>687.5</v>
      </c>
      <c r="N35" s="112">
        <v>50</v>
      </c>
      <c r="O35" s="112">
        <f t="shared" si="2"/>
        <v>50</v>
      </c>
      <c r="AMJ35" s="1"/>
      <c r="AMK35" s="1"/>
    </row>
    <row r="36" spans="1:1025" s="57" customFormat="1" x14ac:dyDescent="0.35">
      <c r="A36" s="7"/>
      <c r="B36" s="14">
        <v>5</v>
      </c>
      <c r="C36" s="7" t="s">
        <v>187</v>
      </c>
      <c r="D36" s="73" t="s">
        <v>0</v>
      </c>
      <c r="E36" s="73">
        <v>1</v>
      </c>
      <c r="F36" s="73">
        <f t="shared" si="3"/>
        <v>3350</v>
      </c>
      <c r="G36" s="73">
        <f t="shared" si="4"/>
        <v>250</v>
      </c>
      <c r="H36" s="11">
        <f t="shared" si="5"/>
        <v>3600</v>
      </c>
      <c r="J36" s="110">
        <v>2680</v>
      </c>
      <c r="K36" s="110">
        <f t="shared" si="0"/>
        <v>2680</v>
      </c>
      <c r="L36" s="111">
        <f t="shared" si="6"/>
        <v>3350</v>
      </c>
      <c r="M36" s="111">
        <f t="shared" si="1"/>
        <v>3350</v>
      </c>
      <c r="N36" s="112">
        <v>250</v>
      </c>
      <c r="O36" s="112">
        <f t="shared" si="2"/>
        <v>250</v>
      </c>
      <c r="AMJ36" s="1"/>
      <c r="AMK36" s="1"/>
    </row>
    <row r="37" spans="1:1025" s="74" customFormat="1" x14ac:dyDescent="0.35">
      <c r="A37" s="7"/>
      <c r="B37" s="14">
        <v>6</v>
      </c>
      <c r="C37" s="7" t="s">
        <v>186</v>
      </c>
      <c r="D37" s="73" t="s">
        <v>0</v>
      </c>
      <c r="E37" s="73">
        <v>1</v>
      </c>
      <c r="F37" s="73">
        <f t="shared" si="3"/>
        <v>437.5</v>
      </c>
      <c r="G37" s="73">
        <f t="shared" si="4"/>
        <v>50</v>
      </c>
      <c r="H37" s="11">
        <f t="shared" si="5"/>
        <v>487.5</v>
      </c>
      <c r="J37" s="110">
        <v>350</v>
      </c>
      <c r="K37" s="110">
        <f t="shared" si="0"/>
        <v>350</v>
      </c>
      <c r="L37" s="111">
        <f t="shared" si="6"/>
        <v>437.5</v>
      </c>
      <c r="M37" s="111">
        <f t="shared" si="1"/>
        <v>437.5</v>
      </c>
      <c r="N37" s="112">
        <v>50</v>
      </c>
      <c r="O37" s="112">
        <f t="shared" si="2"/>
        <v>50</v>
      </c>
    </row>
    <row r="38" spans="1:1025" x14ac:dyDescent="0.35">
      <c r="A38" s="4"/>
      <c r="B38" s="14">
        <v>7</v>
      </c>
      <c r="C38" s="7" t="s">
        <v>185</v>
      </c>
      <c r="D38" s="73" t="s">
        <v>0</v>
      </c>
      <c r="E38" s="73">
        <v>1</v>
      </c>
      <c r="F38" s="73">
        <f t="shared" si="3"/>
        <v>21875</v>
      </c>
      <c r="G38" s="73">
        <f t="shared" si="4"/>
        <v>1000</v>
      </c>
      <c r="H38" s="11">
        <f t="shared" si="5"/>
        <v>22875</v>
      </c>
      <c r="J38" s="110">
        <v>17500</v>
      </c>
      <c r="K38" s="110">
        <f t="shared" si="0"/>
        <v>17500</v>
      </c>
      <c r="L38" s="111">
        <f t="shared" si="6"/>
        <v>21875</v>
      </c>
      <c r="M38" s="111">
        <f t="shared" si="1"/>
        <v>21875</v>
      </c>
      <c r="N38" s="112">
        <v>1000</v>
      </c>
      <c r="O38" s="112">
        <f t="shared" si="2"/>
        <v>1000</v>
      </c>
    </row>
    <row r="39" spans="1:1025" x14ac:dyDescent="0.35">
      <c r="A39" s="4"/>
      <c r="B39" s="72"/>
      <c r="C39" s="7"/>
      <c r="D39" s="69"/>
      <c r="E39" s="69"/>
      <c r="F39" s="69"/>
      <c r="G39" s="69"/>
      <c r="H39" s="68"/>
    </row>
    <row r="40" spans="1:1025" x14ac:dyDescent="0.35">
      <c r="A40" s="4"/>
      <c r="B40" s="72">
        <v>3</v>
      </c>
      <c r="C40" s="70" t="s">
        <v>184</v>
      </c>
      <c r="D40" s="69"/>
      <c r="E40" s="69"/>
      <c r="F40" s="69"/>
      <c r="G40" s="69"/>
      <c r="H40" s="68"/>
    </row>
    <row r="41" spans="1:1025" x14ac:dyDescent="0.35">
      <c r="A41" s="4"/>
      <c r="B41" s="72"/>
      <c r="C41" s="70"/>
      <c r="D41" s="69"/>
      <c r="E41" s="69"/>
      <c r="F41" s="69"/>
      <c r="G41" s="69"/>
      <c r="H41" s="68"/>
    </row>
    <row r="42" spans="1:1025" x14ac:dyDescent="0.35">
      <c r="A42" s="4"/>
      <c r="B42" s="72">
        <v>4</v>
      </c>
      <c r="C42" s="70" t="s">
        <v>183</v>
      </c>
      <c r="D42" s="69"/>
      <c r="E42" s="69"/>
      <c r="F42" s="69"/>
      <c r="G42" s="69"/>
      <c r="H42" s="68"/>
    </row>
    <row r="43" spans="1:1025" x14ac:dyDescent="0.35">
      <c r="A43" s="4"/>
      <c r="B43" s="71"/>
      <c r="C43" s="70"/>
      <c r="D43" s="69"/>
      <c r="E43" s="69"/>
      <c r="F43" s="69"/>
      <c r="G43" s="69"/>
      <c r="H43" s="68"/>
    </row>
    <row r="44" spans="1:1025" ht="22.5" customHeight="1" x14ac:dyDescent="0.35">
      <c r="A44" s="4"/>
      <c r="B44" s="67"/>
      <c r="C44" s="151" t="s">
        <v>219</v>
      </c>
      <c r="D44" s="66"/>
      <c r="E44" s="66"/>
      <c r="F44" s="66"/>
      <c r="G44" s="66"/>
      <c r="H44" s="150">
        <f>SUM(H32:H38)</f>
        <v>39337.5</v>
      </c>
    </row>
    <row r="45" spans="1:1025" ht="22.5" customHeight="1" x14ac:dyDescent="0.35"/>
    <row r="46" spans="1:1025" ht="22.5" customHeight="1" x14ac:dyDescent="0.35">
      <c r="D46" s="3"/>
      <c r="E46" s="3"/>
      <c r="F46" s="3"/>
      <c r="G46" s="3"/>
      <c r="H46" s="121"/>
    </row>
    <row r="47" spans="1:1025" x14ac:dyDescent="0.35">
      <c r="D47" s="3"/>
      <c r="E47" s="3"/>
      <c r="F47" s="3"/>
      <c r="G47" s="3"/>
      <c r="H47" s="119"/>
      <c r="I47" s="1"/>
    </row>
    <row r="48" spans="1:1025" x14ac:dyDescent="0.35">
      <c r="D48" s="64"/>
      <c r="E48" s="64"/>
      <c r="F48" s="64"/>
      <c r="G48" s="64"/>
      <c r="H48" s="64"/>
    </row>
    <row r="49" spans="4:8" x14ac:dyDescent="0.35">
      <c r="D49" s="64"/>
      <c r="E49" s="64"/>
      <c r="F49" s="64"/>
      <c r="G49" s="64"/>
      <c r="H49" s="119"/>
    </row>
    <row r="50" spans="4:8" x14ac:dyDescent="0.35">
      <c r="D50" s="64"/>
      <c r="E50" s="64"/>
      <c r="F50" s="64"/>
      <c r="G50" s="64"/>
      <c r="H50" s="64"/>
    </row>
    <row r="51" spans="4:8" x14ac:dyDescent="0.35">
      <c r="D51" s="64"/>
      <c r="E51" s="64"/>
      <c r="F51" s="64"/>
      <c r="G51" s="64"/>
      <c r="H51" s="64"/>
    </row>
    <row r="52" spans="4:8" x14ac:dyDescent="0.35">
      <c r="D52" s="64"/>
      <c r="E52" s="64"/>
      <c r="F52" s="64"/>
      <c r="G52" s="64"/>
      <c r="H52" s="64"/>
    </row>
    <row r="53" spans="4:8" x14ac:dyDescent="0.35">
      <c r="D53" s="64"/>
      <c r="E53" s="64"/>
      <c r="F53" s="64"/>
      <c r="G53" s="64"/>
      <c r="H53" s="64"/>
    </row>
    <row r="54" spans="4:8" x14ac:dyDescent="0.35">
      <c r="D54" s="64"/>
      <c r="E54" s="64"/>
      <c r="F54" s="64"/>
      <c r="G54" s="64"/>
      <c r="H54" s="64"/>
    </row>
    <row r="55" spans="4:8" x14ac:dyDescent="0.35">
      <c r="D55" s="64"/>
      <c r="E55" s="64"/>
      <c r="F55" s="64"/>
      <c r="G55" s="64"/>
      <c r="H55" s="64"/>
    </row>
    <row r="56" spans="4:8" x14ac:dyDescent="0.35">
      <c r="D56" s="64"/>
      <c r="E56" s="64"/>
      <c r="F56" s="64"/>
      <c r="G56" s="64"/>
      <c r="H56" s="64"/>
    </row>
    <row r="57" spans="4:8" x14ac:dyDescent="0.35">
      <c r="D57" s="64"/>
      <c r="E57" s="64"/>
      <c r="F57" s="64"/>
      <c r="G57" s="64"/>
      <c r="H57" s="64"/>
    </row>
    <row r="58" spans="4:8" x14ac:dyDescent="0.35">
      <c r="D58" s="64"/>
      <c r="E58" s="64"/>
      <c r="F58" s="64"/>
      <c r="G58" s="64"/>
      <c r="H58" s="64"/>
    </row>
    <row r="59" spans="4:8" x14ac:dyDescent="0.35">
      <c r="D59" s="64"/>
      <c r="E59" s="64"/>
      <c r="F59" s="64"/>
      <c r="G59" s="64"/>
      <c r="H59" s="64"/>
    </row>
    <row r="60" spans="4:8" x14ac:dyDescent="0.35">
      <c r="D60" s="64"/>
      <c r="E60" s="64"/>
      <c r="F60" s="64"/>
      <c r="G60" s="64"/>
      <c r="H60" s="64"/>
    </row>
    <row r="61" spans="4:8" x14ac:dyDescent="0.35">
      <c r="D61" s="64"/>
      <c r="E61" s="64"/>
      <c r="F61" s="64"/>
      <c r="G61" s="64"/>
      <c r="H61" s="64"/>
    </row>
    <row r="62" spans="4:8" x14ac:dyDescent="0.35">
      <c r="D62" s="64"/>
      <c r="E62" s="64"/>
      <c r="F62" s="64"/>
      <c r="G62" s="64"/>
      <c r="H62" s="64"/>
    </row>
    <row r="63" spans="4:8" x14ac:dyDescent="0.35">
      <c r="D63" s="64"/>
      <c r="E63" s="64"/>
      <c r="F63" s="64"/>
      <c r="G63" s="64"/>
      <c r="H63" s="64"/>
    </row>
    <row r="64" spans="4:8" x14ac:dyDescent="0.35">
      <c r="D64" s="64"/>
      <c r="E64" s="64"/>
      <c r="F64" s="64"/>
      <c r="G64" s="64"/>
      <c r="H64" s="64"/>
    </row>
    <row r="65" spans="4:8" x14ac:dyDescent="0.35">
      <c r="D65" s="64"/>
      <c r="E65" s="64"/>
      <c r="F65" s="64"/>
      <c r="G65" s="64"/>
      <c r="H65" s="64"/>
    </row>
    <row r="66" spans="4:8" x14ac:dyDescent="0.35">
      <c r="D66" s="64"/>
      <c r="E66" s="64"/>
      <c r="F66" s="64"/>
      <c r="G66" s="64"/>
      <c r="H66" s="64"/>
    </row>
    <row r="67" spans="4:8" x14ac:dyDescent="0.35">
      <c r="D67" s="64"/>
      <c r="E67" s="64"/>
      <c r="F67" s="64"/>
      <c r="G67" s="64"/>
      <c r="H67" s="64"/>
    </row>
    <row r="68" spans="4:8" x14ac:dyDescent="0.35">
      <c r="D68" s="64"/>
      <c r="E68" s="64"/>
      <c r="F68" s="64"/>
      <c r="G68" s="64"/>
      <c r="H68" s="64"/>
    </row>
    <row r="69" spans="4:8" x14ac:dyDescent="0.35">
      <c r="D69" s="64"/>
      <c r="E69" s="64"/>
      <c r="F69" s="64"/>
      <c r="G69" s="64"/>
      <c r="H69" s="64"/>
    </row>
    <row r="70" spans="4:8" x14ac:dyDescent="0.35">
      <c r="D70" s="64"/>
      <c r="E70" s="64"/>
      <c r="F70" s="64"/>
      <c r="G70" s="64"/>
      <c r="H70" s="64"/>
    </row>
    <row r="71" spans="4:8" x14ac:dyDescent="0.35">
      <c r="D71" s="64"/>
      <c r="E71" s="64"/>
      <c r="F71" s="64"/>
      <c r="G71" s="64"/>
      <c r="H71" s="64"/>
    </row>
    <row r="72" spans="4:8" x14ac:dyDescent="0.35">
      <c r="D72" s="64"/>
      <c r="E72" s="64"/>
      <c r="F72" s="64"/>
      <c r="G72" s="64"/>
      <c r="H72" s="64"/>
    </row>
    <row r="73" spans="4:8" x14ac:dyDescent="0.35">
      <c r="D73" s="64"/>
      <c r="E73" s="64"/>
      <c r="F73" s="64"/>
      <c r="G73" s="64"/>
      <c r="H73" s="64"/>
    </row>
    <row r="74" spans="4:8" x14ac:dyDescent="0.35">
      <c r="D74" s="64"/>
      <c r="E74" s="64"/>
      <c r="F74" s="64"/>
      <c r="G74" s="64"/>
      <c r="H74" s="64"/>
    </row>
    <row r="75" spans="4:8" x14ac:dyDescent="0.35">
      <c r="D75" s="64"/>
      <c r="E75" s="64"/>
      <c r="F75" s="64"/>
      <c r="G75" s="64"/>
      <c r="H75" s="64"/>
    </row>
    <row r="76" spans="4:8" x14ac:dyDescent="0.35">
      <c r="D76" s="64"/>
      <c r="E76" s="64"/>
      <c r="F76" s="64"/>
      <c r="G76" s="64"/>
      <c r="H76" s="64"/>
    </row>
    <row r="77" spans="4:8" x14ac:dyDescent="0.35">
      <c r="D77" s="64"/>
      <c r="E77" s="64"/>
      <c r="F77" s="64"/>
      <c r="G77" s="64"/>
      <c r="H77" s="64"/>
    </row>
    <row r="78" spans="4:8" x14ac:dyDescent="0.35">
      <c r="D78" s="64"/>
      <c r="E78" s="64"/>
      <c r="F78" s="64"/>
      <c r="G78" s="64"/>
      <c r="H78" s="64"/>
    </row>
    <row r="79" spans="4:8" x14ac:dyDescent="0.35">
      <c r="D79" s="64"/>
      <c r="E79" s="64"/>
      <c r="F79" s="64"/>
      <c r="G79" s="64"/>
      <c r="H79" s="64"/>
    </row>
    <row r="80" spans="4:8" x14ac:dyDescent="0.35">
      <c r="D80" s="64"/>
      <c r="E80" s="64"/>
      <c r="F80" s="64"/>
      <c r="G80" s="64"/>
      <c r="H80" s="64"/>
    </row>
    <row r="81" spans="2:8" x14ac:dyDescent="0.35">
      <c r="B81" s="61"/>
      <c r="D81" s="64"/>
      <c r="E81" s="64"/>
      <c r="F81" s="64"/>
      <c r="G81" s="64"/>
      <c r="H81" s="64"/>
    </row>
    <row r="82" spans="2:8" ht="35.5" customHeight="1" x14ac:dyDescent="0.35">
      <c r="B82" s="179"/>
      <c r="C82" s="179"/>
      <c r="D82" s="179"/>
      <c r="E82" s="179"/>
      <c r="F82" s="179"/>
      <c r="G82" s="179"/>
      <c r="H82" s="179"/>
    </row>
    <row r="83" spans="2:8" x14ac:dyDescent="0.35">
      <c r="B83" s="63"/>
    </row>
    <row r="84" spans="2:8" x14ac:dyDescent="0.35">
      <c r="B84" s="62"/>
      <c r="D84" s="61"/>
      <c r="E84" s="61"/>
      <c r="F84" s="61"/>
      <c r="G84" s="61"/>
    </row>
    <row r="85" spans="2:8" ht="38.25" customHeight="1" x14ac:dyDescent="0.35">
      <c r="B85" s="61"/>
      <c r="D85" s="61"/>
      <c r="E85" s="61"/>
      <c r="F85" s="61"/>
      <c r="G85" s="61"/>
    </row>
    <row r="86" spans="2:8" ht="38.25" customHeight="1" x14ac:dyDescent="0.35">
      <c r="B86" s="61"/>
    </row>
    <row r="87" spans="2:8" ht="38.25" customHeight="1" x14ac:dyDescent="0.35">
      <c r="B87" s="61"/>
    </row>
    <row r="88" spans="2:8" ht="38.25" customHeight="1" x14ac:dyDescent="0.35">
      <c r="B88" s="61"/>
    </row>
    <row r="89" spans="2:8" ht="38.25" customHeight="1" x14ac:dyDescent="0.35">
      <c r="B89" s="61"/>
    </row>
    <row r="90" spans="2:8" ht="38.25" customHeight="1" x14ac:dyDescent="0.35">
      <c r="D90" s="60"/>
      <c r="E90" s="60"/>
      <c r="F90" s="60"/>
      <c r="G90" s="60"/>
    </row>
    <row r="91" spans="2:8" ht="38.25" customHeight="1" x14ac:dyDescent="0.35">
      <c r="B91" s="60"/>
      <c r="C91" s="60"/>
      <c r="D91" s="60"/>
      <c r="E91" s="60"/>
      <c r="F91" s="60"/>
      <c r="G91" s="60"/>
    </row>
    <row r="92" spans="2:8" ht="38.25" customHeight="1" x14ac:dyDescent="0.35">
      <c r="B92" s="60"/>
      <c r="C92" s="60"/>
      <c r="D92" s="59"/>
      <c r="E92" s="59"/>
      <c r="F92" s="59"/>
      <c r="G92" s="59"/>
    </row>
    <row r="93" spans="2:8" ht="38.25" customHeight="1" x14ac:dyDescent="0.35">
      <c r="C93" s="59"/>
    </row>
    <row r="94" spans="2:8" ht="38.25" customHeight="1" x14ac:dyDescent="0.35"/>
    <row r="95" spans="2:8" ht="38.25" customHeight="1" x14ac:dyDescent="0.35"/>
    <row r="96" spans="2:8" ht="38.25" customHeight="1" x14ac:dyDescent="0.35"/>
    <row r="97" ht="38.25" customHeight="1" x14ac:dyDescent="0.35"/>
    <row r="98" ht="38.25" customHeight="1" x14ac:dyDescent="0.35"/>
    <row r="99" ht="38.25" customHeight="1" x14ac:dyDescent="0.35"/>
    <row r="100" ht="38.25" customHeight="1" x14ac:dyDescent="0.35"/>
    <row r="101" ht="38.25" customHeight="1" x14ac:dyDescent="0.35"/>
    <row r="102" ht="38.25" customHeight="1" x14ac:dyDescent="0.35"/>
    <row r="103" ht="38.25" customHeight="1" x14ac:dyDescent="0.35"/>
    <row r="104" ht="38.25" customHeight="1" x14ac:dyDescent="0.35"/>
    <row r="105" ht="38.25" customHeight="1" x14ac:dyDescent="0.35"/>
    <row r="106" ht="38.25" customHeight="1" x14ac:dyDescent="0.35"/>
    <row r="107" ht="38.25" customHeight="1" x14ac:dyDescent="0.35"/>
    <row r="108" ht="38.25" customHeight="1" x14ac:dyDescent="0.35"/>
    <row r="109" ht="38.25" customHeight="1" x14ac:dyDescent="0.35"/>
    <row r="110" ht="38.25" customHeight="1" x14ac:dyDescent="0.35"/>
    <row r="111" ht="38.25" customHeight="1" x14ac:dyDescent="0.35"/>
    <row r="112" ht="38.25" customHeight="1" x14ac:dyDescent="0.35"/>
    <row r="113" spans="2:2" ht="38.25" customHeight="1" x14ac:dyDescent="0.35"/>
    <row r="114" spans="2:2" ht="34.5" customHeight="1" x14ac:dyDescent="0.35"/>
    <row r="115" spans="2:2" ht="19.5" customHeight="1" x14ac:dyDescent="0.35"/>
    <row r="116" spans="2:2" ht="21" customHeight="1" x14ac:dyDescent="0.35"/>
    <row r="117" spans="2:2" ht="3.75" customHeight="1" x14ac:dyDescent="0.35"/>
    <row r="118" spans="2:2" ht="54.75" customHeight="1" x14ac:dyDescent="0.35"/>
    <row r="119" spans="2:2" ht="12" customHeight="1" x14ac:dyDescent="0.35">
      <c r="B119" s="58"/>
    </row>
    <row r="120" spans="2:2" ht="12" customHeight="1" x14ac:dyDescent="0.35"/>
    <row r="121" spans="2:2" ht="12" customHeight="1" x14ac:dyDescent="0.35"/>
    <row r="122" spans="2:2" ht="12" customHeight="1" x14ac:dyDescent="0.35"/>
    <row r="123" spans="2:2" ht="12" customHeight="1" x14ac:dyDescent="0.35"/>
    <row r="124" spans="2:2" ht="12" customHeight="1" x14ac:dyDescent="0.35"/>
    <row r="125" spans="2:2" ht="12" customHeight="1" x14ac:dyDescent="0.35"/>
    <row r="126" spans="2:2" ht="12" customHeight="1" x14ac:dyDescent="0.35"/>
    <row r="127" spans="2:2" ht="20.25" customHeight="1" x14ac:dyDescent="0.35"/>
    <row r="128" spans="2:2" ht="20.25" customHeight="1" x14ac:dyDescent="0.35"/>
    <row r="129" ht="18.75" customHeight="1" x14ac:dyDescent="0.35"/>
    <row r="130" ht="12" customHeight="1" x14ac:dyDescent="0.35"/>
    <row r="131" ht="17.25" customHeight="1" x14ac:dyDescent="0.35"/>
    <row r="132" ht="12" customHeight="1" x14ac:dyDescent="0.35"/>
    <row r="133" ht="12" customHeight="1" x14ac:dyDescent="0.35"/>
    <row r="134" ht="12" customHeight="1" x14ac:dyDescent="0.35"/>
    <row r="135" ht="12" customHeight="1" x14ac:dyDescent="0.35"/>
    <row r="136" ht="12" customHeight="1" x14ac:dyDescent="0.35"/>
    <row r="137" ht="12" customHeight="1" x14ac:dyDescent="0.35"/>
    <row r="138" ht="12" customHeight="1" x14ac:dyDescent="0.35"/>
    <row r="139" ht="12" customHeight="1" x14ac:dyDescent="0.35"/>
    <row r="140" ht="12" customHeight="1" x14ac:dyDescent="0.35"/>
    <row r="141" ht="12" customHeight="1" x14ac:dyDescent="0.35"/>
    <row r="142" ht="12" customHeight="1" x14ac:dyDescent="0.35"/>
    <row r="143" ht="12" customHeight="1" x14ac:dyDescent="0.35"/>
    <row r="144" ht="12" customHeight="1" x14ac:dyDescent="0.35"/>
    <row r="145" ht="18" customHeight="1" x14ac:dyDescent="0.35"/>
    <row r="146" ht="18" customHeight="1" x14ac:dyDescent="0.35"/>
    <row r="147" ht="23.25" customHeight="1" x14ac:dyDescent="0.35"/>
    <row r="148" ht="29.25" customHeight="1" x14ac:dyDescent="0.35"/>
    <row r="149" ht="30" customHeight="1" x14ac:dyDescent="0.35"/>
    <row r="150" ht="12" customHeight="1" x14ac:dyDescent="0.35"/>
    <row r="151" ht="12" customHeight="1" x14ac:dyDescent="0.35"/>
    <row r="152" ht="53.25" customHeight="1" x14ac:dyDescent="0.35"/>
    <row r="153" ht="12" customHeight="1" x14ac:dyDescent="0.35"/>
    <row r="154" ht="12" customHeight="1" x14ac:dyDescent="0.35"/>
    <row r="155" ht="63" customHeight="1" x14ac:dyDescent="0.35"/>
  </sheetData>
  <mergeCells count="12">
    <mergeCell ref="B82:H82"/>
    <mergeCell ref="B11:B13"/>
    <mergeCell ref="C11:C13"/>
    <mergeCell ref="H11:H13"/>
    <mergeCell ref="C8:H8"/>
    <mergeCell ref="C9:H9"/>
    <mergeCell ref="E11:E12"/>
    <mergeCell ref="C1:F1"/>
    <mergeCell ref="G1:H1"/>
    <mergeCell ref="C10:H10"/>
    <mergeCell ref="A11:A13"/>
    <mergeCell ref="B4:F7"/>
  </mergeCells>
  <pageMargins left="0.7" right="0.7" top="0.75" bottom="0.75" header="0.51180555555555496" footer="0.51180555555555496"/>
  <pageSetup paperSize="9" scale="7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F3_CTCS</vt:lpstr>
      <vt:lpstr>F4_CTCS</vt:lpstr>
      <vt:lpstr>F3_CTCS!Print_Area</vt:lpstr>
      <vt:lpstr>F4_CTCS!Print_Area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Alexandru Georgescu</dc:creator>
  <cp:lastModifiedBy>Andrei-Iulian GHIȚĂ (133211)</cp:lastModifiedBy>
  <dcterms:created xsi:type="dcterms:W3CDTF">2026-07-23T05:13:18Z</dcterms:created>
  <dcterms:modified xsi:type="dcterms:W3CDTF">2026-10-15T10:08:50Z</dcterms:modified>
</cp:coreProperties>
</file>
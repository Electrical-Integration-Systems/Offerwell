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aighita\Downloads\"/>
    </mc:Choice>
  </mc:AlternateContent>
  <xr:revisionPtr revIDLastSave="0" documentId="13_ncr:1_{4A5850C2-48A0-4CD7-9EF8-4DA36F8CD29F}" xr6:coauthVersionLast="47" xr6:coauthVersionMax="47" xr10:uidLastSave="{00000000-0000-0000-0000-000000000000}"/>
  <bookViews>
    <workbookView xWindow="38280" yWindow="-120" windowWidth="29040" windowHeight="15720" tabRatio="898" xr2:uid="{00000000-000D-0000-FFFF-FFFF00000000}"/>
  </bookViews>
  <sheets>
    <sheet name="Curenti slabi sala spectacole" sheetId="36" r:id="rId1"/>
  </sheets>
  <definedNames>
    <definedName name="_xlnm._FilterDatabase" localSheetId="0" hidden="1">'Curenti slabi sala spectacole'!$A$1:$F$76</definedName>
    <definedName name="_xlnm.Print_Area" localSheetId="0">'Curenti slabi sala spectacole'!$A$1:$R$76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36" l="1"/>
  <c r="J15" i="36"/>
  <c r="J16" i="36"/>
  <c r="J17" i="36"/>
  <c r="J18" i="36"/>
  <c r="J20" i="36"/>
  <c r="J22" i="36"/>
  <c r="J23" i="36"/>
  <c r="J25" i="36"/>
  <c r="J26" i="36"/>
  <c r="J27" i="36"/>
  <c r="J28" i="36"/>
  <c r="J29" i="36"/>
  <c r="J31" i="36"/>
  <c r="J33" i="36"/>
  <c r="J36" i="36"/>
  <c r="J37" i="36"/>
  <c r="J38" i="36"/>
  <c r="J39" i="36"/>
  <c r="J40" i="36"/>
  <c r="J41" i="36"/>
  <c r="J42" i="36"/>
  <c r="J43" i="36"/>
  <c r="J45" i="36"/>
  <c r="J46" i="36"/>
  <c r="J47" i="36"/>
  <c r="J51" i="36"/>
  <c r="J52" i="36"/>
  <c r="J53" i="36"/>
  <c r="J54" i="36"/>
  <c r="J55" i="36"/>
  <c r="J56" i="36"/>
  <c r="J57" i="36"/>
  <c r="J59" i="36"/>
  <c r="J60" i="36"/>
  <c r="J61" i="36"/>
  <c r="J62" i="36"/>
  <c r="J63" i="36"/>
  <c r="J65" i="36"/>
  <c r="J66" i="36"/>
  <c r="J67" i="36"/>
  <c r="J68" i="36"/>
  <c r="J70" i="36"/>
  <c r="J13" i="36"/>
  <c r="H14" i="36"/>
  <c r="K14" i="36" s="1"/>
  <c r="H15" i="36"/>
  <c r="K15" i="36" s="1"/>
  <c r="H16" i="36"/>
  <c r="K16" i="36" s="1"/>
  <c r="H17" i="36"/>
  <c r="K17" i="36" s="1"/>
  <c r="H18" i="36"/>
  <c r="K18" i="36" s="1"/>
  <c r="H20" i="36"/>
  <c r="K20" i="36" s="1"/>
  <c r="H22" i="36"/>
  <c r="K22" i="36" s="1"/>
  <c r="H23" i="36"/>
  <c r="K23" i="36" s="1"/>
  <c r="H25" i="36"/>
  <c r="K25" i="36" s="1"/>
  <c r="H26" i="36"/>
  <c r="K26" i="36" s="1"/>
  <c r="H27" i="36"/>
  <c r="K27" i="36" s="1"/>
  <c r="H28" i="36"/>
  <c r="K28" i="36" s="1"/>
  <c r="H29" i="36"/>
  <c r="K29" i="36" s="1"/>
  <c r="H31" i="36"/>
  <c r="K31" i="36" s="1"/>
  <c r="H33" i="36"/>
  <c r="K33" i="36" s="1"/>
  <c r="H36" i="36"/>
  <c r="K36" i="36" s="1"/>
  <c r="H37" i="36"/>
  <c r="K37" i="36" s="1"/>
  <c r="H38" i="36"/>
  <c r="K38" i="36" s="1"/>
  <c r="H39" i="36"/>
  <c r="K39" i="36" s="1"/>
  <c r="H40" i="36"/>
  <c r="K40" i="36" s="1"/>
  <c r="H41" i="36"/>
  <c r="K41" i="36" s="1"/>
  <c r="H42" i="36"/>
  <c r="K42" i="36" s="1"/>
  <c r="H43" i="36"/>
  <c r="K43" i="36" s="1"/>
  <c r="H45" i="36"/>
  <c r="K45" i="36" s="1"/>
  <c r="H46" i="36"/>
  <c r="K46" i="36" s="1"/>
  <c r="H47" i="36"/>
  <c r="K47" i="36" s="1"/>
  <c r="H51" i="36"/>
  <c r="K51" i="36" s="1"/>
  <c r="H52" i="36"/>
  <c r="K52" i="36" s="1"/>
  <c r="H53" i="36"/>
  <c r="K53" i="36" s="1"/>
  <c r="H54" i="36"/>
  <c r="K54" i="36" s="1"/>
  <c r="H55" i="36"/>
  <c r="K55" i="36" s="1"/>
  <c r="H56" i="36"/>
  <c r="K56" i="36" s="1"/>
  <c r="H57" i="36"/>
  <c r="K57" i="36" s="1"/>
  <c r="H59" i="36"/>
  <c r="K59" i="36" s="1"/>
  <c r="H60" i="36"/>
  <c r="K60" i="36" s="1"/>
  <c r="H61" i="36"/>
  <c r="K61" i="36" s="1"/>
  <c r="H62" i="36"/>
  <c r="K62" i="36" s="1"/>
  <c r="H63" i="36"/>
  <c r="K63" i="36" s="1"/>
  <c r="H65" i="36"/>
  <c r="K65" i="36" s="1"/>
  <c r="H66" i="36"/>
  <c r="K66" i="36" s="1"/>
  <c r="H67" i="36"/>
  <c r="K67" i="36" s="1"/>
  <c r="H68" i="36"/>
  <c r="K68" i="36" s="1"/>
  <c r="H70" i="36"/>
  <c r="K70" i="36" s="1"/>
  <c r="H13" i="36"/>
  <c r="K13" i="36" l="1"/>
  <c r="F5" i="36"/>
  <c r="F3" i="36"/>
  <c r="F2" i="36"/>
  <c r="F1" i="36"/>
  <c r="F64" i="36"/>
  <c r="F69" i="36"/>
  <c r="F48" i="36"/>
  <c r="F44" i="36"/>
  <c r="H44" i="36" l="1"/>
  <c r="J44" i="36"/>
  <c r="J48" i="36"/>
  <c r="H48" i="36"/>
  <c r="K48" i="36" s="1"/>
  <c r="H69" i="36"/>
  <c r="J69" i="36"/>
  <c r="H64" i="36"/>
  <c r="J64" i="36"/>
  <c r="A22" i="36"/>
  <c r="A23" i="36" s="1"/>
  <c r="A27" i="36"/>
  <c r="A28" i="36" s="1"/>
  <c r="F58" i="36"/>
  <c r="F30" i="36"/>
  <c r="F24" i="36"/>
  <c r="F19" i="36"/>
  <c r="F32" i="36"/>
  <c r="F21" i="36"/>
  <c r="A17" i="36"/>
  <c r="A18" i="36" s="1"/>
  <c r="A13" i="36"/>
  <c r="K69" i="36" l="1"/>
  <c r="H21" i="36"/>
  <c r="J21" i="36"/>
  <c r="H24" i="36"/>
  <c r="J24" i="36"/>
  <c r="J32" i="36"/>
  <c r="H32" i="36"/>
  <c r="K64" i="36"/>
  <c r="K44" i="36"/>
  <c r="J30" i="36"/>
  <c r="H30" i="36"/>
  <c r="J58" i="36"/>
  <c r="H58" i="36"/>
  <c r="J19" i="36"/>
  <c r="H19" i="36"/>
  <c r="K19" i="36" s="1"/>
  <c r="A32" i="36"/>
  <c r="A33" i="36" s="1"/>
  <c r="K30" i="36" l="1"/>
  <c r="K21" i="36"/>
  <c r="K24" i="36"/>
  <c r="K58" i="36"/>
  <c r="K32" i="36"/>
  <c r="K71" i="36" l="1"/>
</calcChain>
</file>

<file path=xl/sharedStrings.xml><?xml version="1.0" encoding="utf-8"?>
<sst xmlns="http://schemas.openxmlformats.org/spreadsheetml/2006/main" count="182" uniqueCount="83">
  <si>
    <t>Detaliu</t>
  </si>
  <si>
    <t>Nr</t>
  </si>
  <si>
    <t>Cantitate</t>
  </si>
  <si>
    <t>Marci Producator propus</t>
  </si>
  <si>
    <t>buc</t>
  </si>
  <si>
    <t>ml</t>
  </si>
  <si>
    <t>Buton alarma incendiu</t>
  </si>
  <si>
    <t>Hupa alarmare incendiu</t>
  </si>
  <si>
    <t>Modul conectare la PC, conector 1xRJ45, interfata Ethernet 100 Base TX</t>
  </si>
  <si>
    <t>Software OPC server pentru interconectare cu sitemul BMS</t>
  </si>
  <si>
    <t>Sirena de exterior de culoare rosie</t>
  </si>
  <si>
    <t>Nota:</t>
  </si>
  <si>
    <t>Intocmit</t>
  </si>
  <si>
    <t>Ing. Sorin NICULESCU</t>
  </si>
  <si>
    <t>Cablu NHXH-FE180/E90 3x1,5</t>
  </si>
  <si>
    <t>Cleme metalice prindere tub, rezistente la foc E90</t>
  </si>
  <si>
    <t>Unitate masura</t>
  </si>
  <si>
    <t>Cablu incendiu  JHSTH E30 2x2x1,36</t>
  </si>
  <si>
    <t>Detector optic de fum montat pe plafon</t>
  </si>
  <si>
    <t xml:space="preserve">1. Livrarea si instalarea echipamentelor mai sus mentionate include: transport, montaj pe pozitie cu toate elementele de ancorare incluse, conexiuni la circuitele mentionate in cadrul proiectului, certificate de testare conform descrierilor din caietul de sarcini, livrare ca sistem complet in conformitate cu schemele monofilare.  </t>
  </si>
  <si>
    <t>Soclu detectori cu izolator</t>
  </si>
  <si>
    <t>Carcasa buton manual</t>
  </si>
  <si>
    <t xml:space="preserve">Panou repetor </t>
  </si>
  <si>
    <t>Priza TV</t>
  </si>
  <si>
    <t>Material necesare ancorari fibrei optice</t>
  </si>
  <si>
    <t>Detector multicriterial de temperatura si fum</t>
  </si>
  <si>
    <r>
      <t xml:space="preserve">Tub IPEY </t>
    </r>
    <r>
      <rPr>
        <sz val="10"/>
        <color indexed="8"/>
        <rFont val="Arial"/>
        <family val="2"/>
      </rPr>
      <t>Ø16, cu sistem de prindere si montaj</t>
    </r>
  </si>
  <si>
    <t>Nexans / similar</t>
  </si>
  <si>
    <t>Obo Bettermann / similar</t>
  </si>
  <si>
    <t>Bosch / similar</t>
  </si>
  <si>
    <t>Schrack / similar</t>
  </si>
  <si>
    <t>sist</t>
  </si>
  <si>
    <t>Switch 24x10Base-T/100BASE-Tx/1000Base-T +2 combo ports with mini-GBIC/SFP slots (transceivere incluse), PoE</t>
  </si>
  <si>
    <t>Cablu FTP 4x2x0,5 Cat 6E</t>
  </si>
  <si>
    <t>Priza date-voce, RJ45 cat 6E, montaj ingropat</t>
  </si>
  <si>
    <t>Switch 8x10Base-T/100BASE-Tx/1000Base-T +2 combo ports with mini-GBIC/SFP slots (transceivere incluse), PoE</t>
  </si>
  <si>
    <t>Switch 16x10Base-T/100BASE-Tx/1000Base-T +2 combo ports with mini-GBIC/SFP slots (transceivere incluse), PoE</t>
  </si>
  <si>
    <t>UPS rackabil, 2000VA, 15min</t>
  </si>
  <si>
    <t xml:space="preserve">Cablu FTP 4x2x0,5 cat 6E </t>
  </si>
  <si>
    <t>APC/similar</t>
  </si>
  <si>
    <t>Pat de cabluri tip scara, tip RKS, acoperit,  100x50,  cu sistem de prindere si montaj, pentru curenti slabi</t>
  </si>
  <si>
    <t>Patchpanel cat 6E,  24xRJ45-1HU, ecranet, suport de cabluri integrat</t>
  </si>
  <si>
    <t>Patchpanel cat 6E,  16xRJ45-1HU, ecranet, suport de cabluri integrat</t>
  </si>
  <si>
    <t>Detector optic de fum montat in tavanul fals, cu indicator led montat pe plafon</t>
  </si>
  <si>
    <t>Detector optic de fum montat in tubulatura de ventilatie</t>
  </si>
  <si>
    <t>Modul transponder FLM-420-O1I1, complet echipat , carcasa</t>
  </si>
  <si>
    <t>Modul transponder FLM-420-O2I4, complet echipat , carcasa</t>
  </si>
  <si>
    <t xml:space="preserve">Sursa de alimentare 24V/3A  </t>
  </si>
  <si>
    <t>Acumulator sirena 24V/1500mAh</t>
  </si>
  <si>
    <t>Optical Distribution Frame (ODF) 8 slots</t>
  </si>
  <si>
    <t>NVR 24 intrari video, IP, complet echipat, rackabil, Hdd 2x18Tb</t>
  </si>
  <si>
    <t>UPS rackabil, 1000VA, 15min</t>
  </si>
  <si>
    <t>INSTALATII ELECTRICE</t>
  </si>
  <si>
    <t>OBIECT 1 - SALA SPECTACOLE</t>
  </si>
  <si>
    <t>UPS rackabil, 750VA, 15min</t>
  </si>
  <si>
    <t>Pat de cabluri tip scara, tip RKS, acoperit,  200x50,  cu sistem de prindere si montaj, pentru curenti slabi</t>
  </si>
  <si>
    <t>Detector liniar de fum, montat in sala de festivitati</t>
  </si>
  <si>
    <t>NVR 16 intrari video, IP, complet echipat, rackabil, Hdd 2x18Tb</t>
  </si>
  <si>
    <t>Patchpanel cat 6E,   8xRJ45-1HU, ecranet, suport de cabluri integrat</t>
  </si>
  <si>
    <t>Rack 19", 18U, 600X800 usa de sticla cu rama metalica, panouri laterale detasabile, kit suporti amplasare pe podea, kit ventilatoare inclus, PDU 7 prize alimentare 230V</t>
  </si>
  <si>
    <t>Pat de cabluri tip scara, tip RKS, acoperit,  150x50,  cu sistem de prindere si montaj, pentru curenti slabi</t>
  </si>
  <si>
    <t>Fibra optica single mod 2 fibre</t>
  </si>
  <si>
    <t xml:space="preserve">Camera video fixa de interior, tip dome, Full HD, IR 50m, IP, alimentare POE, complet echipata </t>
  </si>
  <si>
    <t>Camera video fixa de exterior, Full HD, IR 50m, carcasa incalzita, IP, alimentare POE, complet echipata</t>
  </si>
  <si>
    <t>Patchpanel cat 6E,  8xRJ45-1HU, ecranet, suport de cabluri integrat</t>
  </si>
  <si>
    <t>Cablu coaxial TV</t>
  </si>
  <si>
    <t>Splitter TV 1IN 4OUT</t>
  </si>
  <si>
    <t>2. INSTALATIE DETECTIE SI SEMNALIZARE INCENDIU</t>
  </si>
  <si>
    <t>3. INSTALATIE SUPRAVEGHERE VIDEO</t>
  </si>
  <si>
    <t>4. INSTALATIE VOCE-DATE, TV</t>
  </si>
  <si>
    <t>Centrala de semnalizare incendiu ECS adresabila, 5 bucle, maxim 128 elemente pe bucla, cabinet metalic de culoare rosie, 10 relee 24V/3A, acumulatori 3x 24V/17A, acreditata EN54</t>
  </si>
  <si>
    <t>NVR 8 intrari video, IP, complet echipat, rackabil, Hdd 1x12Tb</t>
  </si>
  <si>
    <t>Schrack / Excel</t>
  </si>
  <si>
    <t>Pret unitar mat.</t>
  </si>
  <si>
    <t xml:space="preserve">Pret total mat. </t>
  </si>
  <si>
    <t>Pret man. Unitar</t>
  </si>
  <si>
    <t>Pret man. Total</t>
  </si>
  <si>
    <t>Total material+ manopera</t>
  </si>
  <si>
    <t>Dahua/Hikvision</t>
  </si>
  <si>
    <t>Total general</t>
  </si>
  <si>
    <r>
      <t xml:space="preserve">Switch FO 8x10Base-T/100BASE-Tx/1000Base-T +2 combo ports with mini-GBIC/SFP slots (transceivere incluse)  </t>
    </r>
    <r>
      <rPr>
        <sz val="10"/>
        <color rgb="FFFF0000"/>
        <rFont val="Arial"/>
        <family val="2"/>
      </rPr>
      <t>(Switch 8P - RJ45 + 2P SFP + modul SFP)</t>
    </r>
  </si>
  <si>
    <r>
      <t xml:space="preserve">Switch FO 16x10Base-T/100BASE-Tx/1000Base-T +2 combo ports with mini-GBIC/SFP slots (transceivere incluse) </t>
    </r>
    <r>
      <rPr>
        <sz val="10"/>
        <color rgb="FFFF0000"/>
        <rFont val="Arial"/>
        <family val="2"/>
      </rPr>
      <t xml:space="preserve"> (Switch 16P - RJ45 + 2P SFP + modul SFP)</t>
    </r>
  </si>
  <si>
    <t>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</si>
</sst>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charset val="238"/>
    </font>
    <font>
      <sz val="10"/>
      <name val="Arial"/>
      <family val="2"/>
    </font>
    <font>
      <sz val="10"/>
      <name val="Arial"/>
      <family val="2"/>
      <charset val="238"/>
    </font>
    <font>
      <sz val="10"/>
      <name val="Arial"/>
      <family val="2"/>
    </font>
    <font>
      <b/>
      <sz val="12"/>
      <name val="Arial"/>
      <family val="2"/>
    </font>
    <font>
      <sz val="10"/>
      <name val="Tahoma"/>
      <family val="2"/>
    </font>
    <font>
      <b/>
      <sz val="10"/>
      <name val="Tahoma"/>
      <family val="2"/>
    </font>
    <font>
      <sz val="11"/>
      <name val="Tahoma"/>
      <family val="2"/>
    </font>
    <font>
      <b/>
      <sz val="11"/>
      <name val="Arial"/>
      <family val="2"/>
      <charset val="238"/>
    </font>
    <font>
      <b/>
      <u/>
      <sz val="11"/>
      <name val="Tahoma"/>
      <family val="2"/>
    </font>
    <font>
      <sz val="10"/>
      <color indexed="8"/>
      <name val="Arial"/>
      <family val="2"/>
    </font>
    <font>
      <u/>
      <sz val="10"/>
      <name val="Arial"/>
      <family val="2"/>
    </font>
    <font>
      <b/>
      <sz val="10"/>
      <name val="Arial"/>
      <family val="2"/>
    </font>
    <font>
      <b/>
      <sz val="12"/>
      <name val="Tahoma"/>
      <family val="2"/>
    </font>
    <font>
      <sz val="10"/>
      <color rgb="FFFF0000"/>
      <name val="Arial"/>
      <family val="2"/>
    </font>
    <font>
      <b/>
      <sz val="14"/>
      <name val="Arial"/>
      <family val="2"/>
    </font>
    <font>
      <b/>
      <sz val="10"/>
      <color rgb="FFFF0000"/>
      <name val="Tahoma"/>
      <family val="2"/>
    </font>
    <font>
      <b/>
      <sz val="10"/>
      <color rgb="FF00B050"/>
      <name val="Tahoma"/>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CFF66"/>
        <bgColor indexed="64"/>
      </patternFill>
    </fill>
    <fill>
      <patternFill patternType="solid">
        <fgColor rgb="FFFF0000"/>
        <bgColor indexed="64"/>
      </patternFill>
    </fill>
  </fills>
  <borders count="16">
    <border>
      <left/>
      <right/>
      <top/>
      <bottom/>
      <diagonal/>
    </border>
    <border>
      <left style="medium">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xf numFmtId="0" fontId="3" fillId="0" borderId="0"/>
  </cellStyleXfs>
  <cellXfs count="98">
    <xf numFmtId="0" fontId="0" fillId="0" borderId="0" xfId="0"/>
    <xf numFmtId="164" fontId="5" fillId="0" borderId="0" xfId="0" applyNumberFormat="1" applyFont="1" applyProtection="1">
      <protection locked="0"/>
    </xf>
    <xf numFmtId="164" fontId="9" fillId="0" borderId="0" xfId="0" applyNumberFormat="1" applyFont="1" applyProtection="1">
      <protection locked="0"/>
    </xf>
    <xf numFmtId="164" fontId="5" fillId="0" borderId="0" xfId="0" applyNumberFormat="1" applyFont="1" applyAlignment="1" applyProtection="1">
      <alignment horizontal="center" vertical="center"/>
      <protection locked="0"/>
    </xf>
    <xf numFmtId="164" fontId="5" fillId="2" borderId="0" xfId="0" applyNumberFormat="1" applyFont="1" applyFill="1" applyProtection="1">
      <protection locked="0"/>
    </xf>
    <xf numFmtId="164" fontId="8" fillId="0" borderId="0" xfId="0" applyNumberFormat="1" applyFont="1" applyProtection="1">
      <protection locked="0"/>
    </xf>
    <xf numFmtId="164" fontId="5" fillId="0" borderId="0" xfId="0" applyNumberFormat="1" applyFont="1" applyAlignment="1" applyProtection="1">
      <alignment horizontal="left" vertical="center" wrapText="1"/>
      <protection locked="0"/>
    </xf>
    <xf numFmtId="164" fontId="2" fillId="0" borderId="0" xfId="0" applyNumberFormat="1" applyFont="1" applyAlignment="1" applyProtection="1">
      <alignment vertical="center"/>
      <protection locked="0"/>
    </xf>
    <xf numFmtId="164" fontId="0" fillId="0" borderId="0" xfId="0" applyNumberFormat="1" applyAlignment="1" applyProtection="1">
      <alignment horizontal="center"/>
      <protection locked="0"/>
    </xf>
    <xf numFmtId="164" fontId="7" fillId="0" borderId="0" xfId="0" applyNumberFormat="1" applyFont="1" applyProtection="1">
      <protection locked="0"/>
    </xf>
    <xf numFmtId="164" fontId="6" fillId="0" borderId="0" xfId="0" applyNumberFormat="1" applyFont="1" applyAlignment="1" applyProtection="1">
      <alignment horizontal="left"/>
      <protection locked="0"/>
    </xf>
    <xf numFmtId="164" fontId="12" fillId="0" borderId="0" xfId="0" applyNumberFormat="1" applyFont="1" applyAlignment="1">
      <alignment horizontal="right"/>
    </xf>
    <xf numFmtId="164" fontId="0" fillId="0" borderId="0" xfId="0" applyNumberFormat="1" applyProtection="1">
      <protection locked="0"/>
    </xf>
    <xf numFmtId="164" fontId="5" fillId="0" borderId="0" xfId="0" applyNumberFormat="1" applyFont="1" applyAlignment="1" applyProtection="1">
      <alignment horizontal="left" vertical="top"/>
      <protection locked="0"/>
    </xf>
    <xf numFmtId="164" fontId="5" fillId="0" borderId="10" xfId="0" applyNumberFormat="1" applyFont="1" applyBorder="1" applyAlignment="1">
      <alignment horizontal="left"/>
    </xf>
    <xf numFmtId="164" fontId="5" fillId="0" borderId="8" xfId="0" applyNumberFormat="1" applyFont="1" applyBorder="1" applyAlignment="1">
      <alignment horizontal="center" vertical="top"/>
    </xf>
    <xf numFmtId="164" fontId="1" fillId="0" borderId="8" xfId="0" applyNumberFormat="1" applyFont="1" applyBorder="1" applyAlignment="1">
      <alignment horizontal="left" vertical="top" wrapText="1"/>
    </xf>
    <xf numFmtId="164" fontId="1" fillId="0" borderId="8" xfId="0" applyNumberFormat="1" applyFont="1" applyBorder="1" applyAlignment="1">
      <alignment horizontal="center" vertical="center"/>
    </xf>
    <xf numFmtId="164" fontId="1" fillId="0" borderId="8" xfId="0" applyNumberFormat="1" applyFont="1" applyBorder="1" applyAlignment="1">
      <alignment horizontal="center" vertical="center" wrapText="1"/>
    </xf>
    <xf numFmtId="164" fontId="1" fillId="0" borderId="9" xfId="0" applyNumberFormat="1" applyFont="1" applyBorder="1" applyAlignment="1">
      <alignment horizontal="center" vertical="center"/>
    </xf>
    <xf numFmtId="164" fontId="0" fillId="0" borderId="8" xfId="0" applyNumberFormat="1" applyBorder="1" applyAlignment="1">
      <alignment horizontal="center" vertical="center"/>
    </xf>
    <xf numFmtId="164" fontId="1" fillId="0" borderId="8" xfId="0" applyNumberFormat="1" applyFont="1" applyBorder="1" applyAlignment="1">
      <alignment horizontal="left" vertical="justify"/>
    </xf>
    <xf numFmtId="164" fontId="1" fillId="0" borderId="8" xfId="0" applyNumberFormat="1" applyFont="1" applyBorder="1" applyAlignment="1">
      <alignment horizontal="left" vertical="center" wrapText="1"/>
    </xf>
    <xf numFmtId="164" fontId="5" fillId="0" borderId="0" xfId="0" applyNumberFormat="1" applyFont="1" applyAlignment="1">
      <alignment horizontal="center" vertical="center"/>
    </xf>
    <xf numFmtId="164" fontId="5" fillId="0" borderId="0" xfId="0" applyNumberFormat="1" applyFont="1"/>
    <xf numFmtId="164" fontId="11" fillId="0" borderId="0" xfId="0" applyNumberFormat="1" applyFont="1" applyAlignment="1">
      <alignment horizontal="left" vertical="center"/>
    </xf>
    <xf numFmtId="164" fontId="0" fillId="0" borderId="0" xfId="0" applyNumberFormat="1" applyAlignment="1">
      <alignment horizontal="center" vertical="center"/>
    </xf>
    <xf numFmtId="164" fontId="1" fillId="0" borderId="0" xfId="0" applyNumberFormat="1" applyFont="1" applyAlignment="1">
      <alignment horizontal="center" vertical="center"/>
    </xf>
    <xf numFmtId="164" fontId="1" fillId="0" borderId="0" xfId="0" applyNumberFormat="1" applyFont="1" applyAlignment="1">
      <alignment horizontal="left" vertical="top" wrapText="1"/>
    </xf>
    <xf numFmtId="164" fontId="1" fillId="0" borderId="0" xfId="0" applyNumberFormat="1" applyFont="1" applyAlignment="1">
      <alignment horizontal="left"/>
    </xf>
    <xf numFmtId="164" fontId="0" fillId="0" borderId="0" xfId="0" applyNumberFormat="1" applyAlignment="1">
      <alignment horizontal="right" vertical="center"/>
    </xf>
    <xf numFmtId="164" fontId="5" fillId="2" borderId="0" xfId="0" applyNumberFormat="1" applyFont="1" applyFill="1" applyAlignment="1" applyProtection="1">
      <alignment horizontal="center"/>
      <protection locked="0"/>
    </xf>
    <xf numFmtId="164" fontId="5" fillId="0" borderId="0" xfId="0" applyNumberFormat="1" applyFont="1" applyAlignment="1" applyProtection="1">
      <alignment vertical="center"/>
      <protection locked="0"/>
    </xf>
    <xf numFmtId="164" fontId="5" fillId="0" borderId="0" xfId="0" applyNumberFormat="1" applyFont="1" applyAlignment="1" applyProtection="1">
      <alignment horizontal="center" vertical="center" wrapText="1"/>
      <protection locked="0"/>
    </xf>
    <xf numFmtId="164" fontId="5" fillId="2" borderId="0" xfId="0" applyNumberFormat="1" applyFont="1" applyFill="1" applyAlignment="1" applyProtection="1">
      <alignment horizontal="center" vertical="center" wrapText="1"/>
      <protection locked="0"/>
    </xf>
    <xf numFmtId="164" fontId="6" fillId="0" borderId="0" xfId="0" applyNumberFormat="1" applyFont="1" applyAlignment="1" applyProtection="1">
      <alignment horizontal="left" vertical="top" wrapText="1"/>
      <protection locked="0"/>
    </xf>
    <xf numFmtId="164" fontId="5" fillId="0" borderId="0" xfId="0" applyNumberFormat="1" applyFont="1" applyAlignment="1" applyProtection="1">
      <alignment horizontal="left" vertical="top" wrapText="1"/>
      <protection locked="0"/>
    </xf>
    <xf numFmtId="164" fontId="13" fillId="4" borderId="7" xfId="0" applyNumberFormat="1" applyFont="1" applyFill="1" applyBorder="1" applyAlignment="1">
      <alignment horizontal="center" vertical="center"/>
    </xf>
    <xf numFmtId="164" fontId="13" fillId="4" borderId="11" xfId="0" applyNumberFormat="1" applyFont="1" applyFill="1" applyBorder="1" applyAlignment="1">
      <alignment horizontal="center" vertical="center"/>
    </xf>
    <xf numFmtId="164" fontId="6" fillId="4" borderId="11" xfId="0" applyNumberFormat="1" applyFont="1" applyFill="1" applyBorder="1" applyAlignment="1">
      <alignment horizontal="center" vertical="center" wrapText="1"/>
    </xf>
    <xf numFmtId="164" fontId="6" fillId="4" borderId="12" xfId="0" applyNumberFormat="1" applyFont="1" applyFill="1" applyBorder="1" applyAlignment="1">
      <alignment horizontal="center" vertical="center" wrapText="1"/>
    </xf>
    <xf numFmtId="164" fontId="5" fillId="4" borderId="6" xfId="0" applyNumberFormat="1" applyFont="1" applyFill="1" applyBorder="1" applyAlignment="1">
      <alignment horizontal="left" vertical="top"/>
    </xf>
    <xf numFmtId="164" fontId="5" fillId="2" borderId="0" xfId="0" applyNumberFormat="1" applyFont="1" applyFill="1" applyAlignment="1" applyProtection="1">
      <alignment vertical="top"/>
      <protection locked="0"/>
    </xf>
    <xf numFmtId="164" fontId="14" fillId="0" borderId="8" xfId="0" applyNumberFormat="1" applyFont="1" applyBorder="1" applyAlignment="1">
      <alignment horizontal="left" vertical="top" wrapText="1"/>
    </xf>
    <xf numFmtId="164" fontId="5" fillId="0" borderId="8" xfId="0" applyNumberFormat="1" applyFont="1" applyBorder="1" applyAlignment="1">
      <alignment horizontal="left" vertical="top"/>
    </xf>
    <xf numFmtId="164" fontId="5" fillId="0" borderId="8" xfId="0" applyNumberFormat="1" applyFont="1" applyBorder="1" applyAlignment="1">
      <alignment horizontal="center" vertical="center" wrapText="1"/>
    </xf>
    <xf numFmtId="164" fontId="1" fillId="0" borderId="8" xfId="0" applyNumberFormat="1" applyFont="1" applyBorder="1" applyAlignment="1">
      <alignment horizontal="justify" vertical="top" wrapText="1"/>
    </xf>
    <xf numFmtId="164" fontId="5" fillId="0" borderId="0" xfId="0" applyNumberFormat="1" applyFont="1" applyAlignment="1" applyProtection="1">
      <alignment vertical="top"/>
      <protection locked="0"/>
    </xf>
    <xf numFmtId="164" fontId="5" fillId="0" borderId="8" xfId="0" applyNumberFormat="1" applyFont="1" applyBorder="1" applyAlignment="1">
      <alignment vertical="top"/>
    </xf>
    <xf numFmtId="164" fontId="0" fillId="0" borderId="4" xfId="0" applyNumberFormat="1" applyBorder="1" applyAlignment="1">
      <alignment horizontal="center" vertical="center"/>
    </xf>
    <xf numFmtId="164" fontId="1" fillId="0" borderId="4" xfId="0" applyNumberFormat="1" applyFont="1" applyBorder="1" applyAlignment="1">
      <alignment horizontal="justify" vertical="top" wrapText="1"/>
    </xf>
    <xf numFmtId="164" fontId="5" fillId="0" borderId="4" xfId="0" applyNumberFormat="1" applyFont="1" applyBorder="1" applyAlignment="1">
      <alignment vertical="top"/>
    </xf>
    <xf numFmtId="164" fontId="5"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xf>
    <xf numFmtId="164" fontId="5" fillId="2" borderId="0" xfId="0" applyNumberFormat="1" applyFont="1" applyFill="1" applyAlignment="1" applyProtection="1">
      <alignment horizontal="center" vertical="center"/>
      <protection locked="0"/>
    </xf>
    <xf numFmtId="164" fontId="5" fillId="4" borderId="13" xfId="0" applyNumberFormat="1" applyFont="1" applyFill="1" applyBorder="1" applyAlignment="1">
      <alignment horizontal="left" vertical="top"/>
    </xf>
    <xf numFmtId="164" fontId="5" fillId="0" borderId="0" xfId="0" applyNumberFormat="1" applyFont="1" applyAlignment="1" applyProtection="1">
      <alignment horizontal="center" vertical="top"/>
      <protection locked="0"/>
    </xf>
    <xf numFmtId="164" fontId="1" fillId="0" borderId="5" xfId="0" applyNumberFormat="1" applyFont="1" applyBorder="1" applyAlignment="1">
      <alignment horizontal="center" vertical="center"/>
    </xf>
    <xf numFmtId="164" fontId="5" fillId="0" borderId="4" xfId="0" applyNumberFormat="1" applyFont="1" applyBorder="1" applyAlignment="1">
      <alignment horizontal="center" vertical="top"/>
    </xf>
    <xf numFmtId="164" fontId="1" fillId="0" borderId="4" xfId="0" applyNumberFormat="1" applyFont="1" applyBorder="1" applyAlignment="1">
      <alignment horizontal="left" wrapText="1"/>
    </xf>
    <xf numFmtId="164" fontId="1" fillId="0" borderId="8" xfId="0" applyNumberFormat="1" applyFont="1" applyBorder="1" applyAlignment="1">
      <alignment vertical="top"/>
    </xf>
    <xf numFmtId="164" fontId="1" fillId="0" borderId="4" xfId="0" applyNumberFormat="1" applyFont="1" applyBorder="1" applyAlignment="1">
      <alignment vertical="top"/>
    </xf>
    <xf numFmtId="164" fontId="5" fillId="0" borderId="0" xfId="0" applyNumberFormat="1" applyFont="1" applyAlignment="1">
      <alignment wrapText="1"/>
    </xf>
    <xf numFmtId="164" fontId="6" fillId="2" borderId="0" xfId="0" applyNumberFormat="1" applyFont="1" applyFill="1" applyAlignment="1" applyProtection="1">
      <alignment horizontal="center" vertical="center" wrapText="1"/>
      <protection locked="0"/>
    </xf>
    <xf numFmtId="164" fontId="16" fillId="2" borderId="0" xfId="0" applyNumberFormat="1" applyFont="1" applyFill="1" applyAlignment="1" applyProtection="1">
      <alignment horizontal="center" vertical="center" wrapText="1"/>
      <protection locked="0"/>
    </xf>
    <xf numFmtId="164" fontId="17" fillId="2" borderId="0" xfId="0" applyNumberFormat="1" applyFont="1" applyFill="1" applyAlignment="1" applyProtection="1">
      <alignment horizontal="center" vertical="center" wrapText="1"/>
      <protection locked="0"/>
    </xf>
    <xf numFmtId="164" fontId="16" fillId="0" borderId="0" xfId="0" applyNumberFormat="1" applyFont="1" applyAlignment="1" applyProtection="1">
      <alignment horizontal="center" vertical="center" wrapText="1"/>
      <protection locked="0"/>
    </xf>
    <xf numFmtId="164" fontId="17" fillId="0" borderId="0" xfId="0" applyNumberFormat="1" applyFont="1" applyAlignment="1" applyProtection="1">
      <alignment horizontal="center" vertical="center" wrapText="1"/>
      <protection locked="0"/>
    </xf>
    <xf numFmtId="164" fontId="6" fillId="0" borderId="0" xfId="0" applyNumberFormat="1" applyFont="1" applyAlignment="1" applyProtection="1">
      <alignment horizontal="center" vertical="center" wrapText="1"/>
      <protection locked="0"/>
    </xf>
    <xf numFmtId="164" fontId="16" fillId="0" borderId="0" xfId="0" applyNumberFormat="1" applyFont="1" applyAlignment="1">
      <alignment horizontal="center" vertical="center" wrapText="1"/>
    </xf>
    <xf numFmtId="164" fontId="17"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64" fontId="5" fillId="0" borderId="8" xfId="0" applyNumberFormat="1" applyFont="1" applyBorder="1" applyAlignment="1" applyProtection="1">
      <alignment horizontal="center" vertical="center"/>
      <protection locked="0"/>
    </xf>
    <xf numFmtId="164" fontId="5" fillId="5" borderId="8" xfId="0" applyNumberFormat="1" applyFont="1" applyFill="1" applyBorder="1" applyAlignment="1" applyProtection="1">
      <alignment horizontal="center" vertical="center"/>
      <protection locked="0"/>
    </xf>
    <xf numFmtId="164" fontId="1" fillId="5" borderId="8" xfId="0" applyNumberFormat="1" applyFont="1" applyFill="1" applyBorder="1" applyAlignment="1">
      <alignment horizontal="center" vertical="center"/>
    </xf>
    <xf numFmtId="164" fontId="5" fillId="4" borderId="0" xfId="0" applyNumberFormat="1" applyFont="1" applyFill="1" applyAlignment="1" applyProtection="1">
      <alignment horizontal="center" vertical="center"/>
      <protection locked="0"/>
    </xf>
    <xf numFmtId="164" fontId="5" fillId="4" borderId="0" xfId="0" applyNumberFormat="1" applyFont="1" applyFill="1" applyAlignment="1" applyProtection="1">
      <alignment horizontal="center" vertical="center" wrapText="1"/>
      <protection locked="0"/>
    </xf>
    <xf numFmtId="164" fontId="5" fillId="0" borderId="8" xfId="0" applyNumberFormat="1" applyFont="1" applyBorder="1" applyAlignment="1" applyProtection="1">
      <alignment horizontal="center" vertical="center" wrapText="1"/>
      <protection locked="0"/>
    </xf>
    <xf numFmtId="164" fontId="5" fillId="0" borderId="3" xfId="0" applyNumberFormat="1" applyFont="1" applyBorder="1" applyAlignment="1" applyProtection="1">
      <alignment horizontal="center" vertical="center"/>
      <protection locked="0"/>
    </xf>
    <xf numFmtId="164" fontId="0" fillId="0" borderId="3" xfId="0" applyNumberFormat="1" applyBorder="1" applyAlignment="1">
      <alignment horizontal="center" vertical="center"/>
    </xf>
    <xf numFmtId="164" fontId="1" fillId="0" borderId="3" xfId="0" applyNumberFormat="1" applyFont="1" applyBorder="1" applyAlignment="1">
      <alignment horizontal="justify" vertical="top" wrapText="1"/>
    </xf>
    <xf numFmtId="164" fontId="5" fillId="0" borderId="3" xfId="0" applyNumberFormat="1" applyFont="1" applyBorder="1" applyAlignment="1">
      <alignment vertical="top"/>
    </xf>
    <xf numFmtId="164" fontId="5" fillId="0" borderId="3" xfId="0" applyNumberFormat="1" applyFont="1" applyBorder="1" applyAlignment="1">
      <alignment horizontal="center" vertical="center" wrapText="1"/>
    </xf>
    <xf numFmtId="164" fontId="1" fillId="0" borderId="3" xfId="0" applyNumberFormat="1" applyFont="1" applyBorder="1" applyAlignment="1">
      <alignment horizontal="center" vertical="center"/>
    </xf>
    <xf numFmtId="164" fontId="5" fillId="0" borderId="3" xfId="0" applyNumberFormat="1" applyFont="1" applyBorder="1" applyAlignment="1" applyProtection="1">
      <alignment horizontal="center" vertical="center" wrapText="1"/>
      <protection locked="0"/>
    </xf>
    <xf numFmtId="164" fontId="5" fillId="0" borderId="4" xfId="0" applyNumberFormat="1" applyFont="1" applyBorder="1" applyAlignment="1" applyProtection="1">
      <alignment horizontal="center" vertical="center"/>
      <protection locked="0"/>
    </xf>
    <xf numFmtId="164" fontId="5" fillId="0" borderId="4" xfId="0" applyNumberFormat="1" applyFont="1" applyBorder="1" applyAlignment="1" applyProtection="1">
      <alignment horizontal="center" vertical="center" wrapText="1"/>
      <protection locked="0"/>
    </xf>
    <xf numFmtId="164" fontId="5" fillId="0" borderId="1" xfId="0" applyNumberFormat="1" applyFont="1" applyBorder="1" applyAlignment="1" applyProtection="1">
      <alignment horizontal="center" vertical="center"/>
      <protection locked="0"/>
    </xf>
    <xf numFmtId="164" fontId="5" fillId="0" borderId="15" xfId="0" applyNumberFormat="1" applyFont="1" applyBorder="1" applyAlignment="1" applyProtection="1">
      <alignment horizontal="center" vertical="center" wrapText="1"/>
      <protection locked="0"/>
    </xf>
    <xf numFmtId="164" fontId="5" fillId="5" borderId="8" xfId="0" applyNumberFormat="1" applyFont="1" applyFill="1" applyBorder="1" applyAlignment="1" applyProtection="1">
      <alignment horizontal="center" vertical="center" wrapText="1"/>
      <protection locked="0"/>
    </xf>
    <xf numFmtId="164" fontId="1" fillId="0" borderId="0" xfId="0" applyNumberFormat="1" applyFont="1" applyAlignment="1">
      <alignment horizontal="left" vertical="top" wrapText="1"/>
    </xf>
    <xf numFmtId="164" fontId="15" fillId="3" borderId="0" xfId="0" applyNumberFormat="1" applyFont="1" applyFill="1" applyAlignment="1">
      <alignment horizontal="center" vertical="center" wrapText="1"/>
    </xf>
    <xf numFmtId="164" fontId="4" fillId="0" borderId="14" xfId="0" applyNumberFormat="1" applyFont="1" applyBorder="1" applyAlignment="1">
      <alignment horizontal="center" vertical="top"/>
    </xf>
    <xf numFmtId="164" fontId="4" fillId="0" borderId="0" xfId="0" applyNumberFormat="1" applyFont="1" applyAlignment="1">
      <alignment horizontal="center" vertical="top"/>
    </xf>
    <xf numFmtId="164" fontId="4" fillId="4" borderId="6" xfId="0" applyNumberFormat="1" applyFont="1" applyFill="1" applyBorder="1" applyAlignment="1">
      <alignment horizontal="center" vertical="top"/>
    </xf>
    <xf numFmtId="164" fontId="4" fillId="4" borderId="14" xfId="0" applyNumberFormat="1" applyFont="1" applyFill="1" applyBorder="1" applyAlignment="1">
      <alignment horizontal="center" vertical="top"/>
    </xf>
    <xf numFmtId="164" fontId="4" fillId="4" borderId="0" xfId="0" applyNumberFormat="1" applyFont="1" applyFill="1" applyAlignment="1">
      <alignment horizontal="center" vertical="top"/>
    </xf>
    <xf numFmtId="164" fontId="15" fillId="3" borderId="2" xfId="0" applyNumberFormat="1" applyFont="1" applyFill="1" applyBorder="1" applyAlignment="1">
      <alignment horizontal="center" vertical="center" wrapText="1"/>
    </xf>
  </cellXfs>
  <cellStyles count="3">
    <cellStyle name="Normal" xfId="0" builtinId="0"/>
    <cellStyle name="Normal 11" xfId="1" xr:uid="{00000000-0005-0000-0000-000001000000}"/>
    <cellStyle name="Normal 2" xfId="2" xr:uid="{00000000-0005-0000-0000-000002000000}"/>
  </cellStyles>
  <dxfs count="2">
    <dxf>
      <font>
        <condense val="0"/>
        <extend val="0"/>
        <color indexed="9"/>
      </font>
    </dxf>
    <dxf>
      <font>
        <condense val="0"/>
        <extend val="0"/>
        <color indexed="9"/>
      </font>
    </dxf>
  </dxfs>
  <tableStyles count="0" defaultTableStyle="TableStyleMedium9"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47B7-A92F-4227-9E71-29043FC6857B}">
  <dimension ref="A1:S76"/>
  <sheetViews>
    <sheetView tabSelected="1" view="pageBreakPreview" topLeftCell="A7" zoomScale="85" zoomScaleNormal="85" zoomScaleSheetLayoutView="85" workbookViewId="0">
      <selection activeCell="B15" sqref="B15"/>
    </sheetView>
  </sheetViews>
  <sheetFormatPr defaultColWidth="9.1796875" defaultRowHeight="12.5" x14ac:dyDescent="0.25"/>
  <cols>
    <col min="1" max="1" width="8.1796875" style="4" customWidth="1"/>
    <col min="2" max="2" width="71.26953125" style="4" customWidth="1"/>
    <col min="3" max="3" width="9" style="4" customWidth="1"/>
    <col min="4" max="4" width="16.453125" style="4" customWidth="1"/>
    <col min="5" max="5" width="9" style="31" customWidth="1"/>
    <col min="6" max="6" width="9.81640625" style="31" customWidth="1"/>
    <col min="7" max="9" width="9.1796875" style="54" customWidth="1"/>
    <col min="10" max="10" width="11.81640625" style="54" bestFit="1" customWidth="1"/>
    <col min="11" max="11" width="10.81640625" style="34" customWidth="1"/>
    <col min="12" max="12" width="9.1796875" style="64"/>
    <col min="13" max="13" width="12" style="64" customWidth="1"/>
    <col min="14" max="14" width="9.1796875" style="65"/>
    <col min="15" max="15" width="11.81640625" style="65" customWidth="1"/>
    <col min="16" max="16" width="10" style="63" customWidth="1"/>
    <col min="17" max="17" width="11.26953125" style="63" customWidth="1"/>
    <col min="18" max="19" width="9.1796875" style="34"/>
    <col min="20" max="16384" width="9.1796875" style="4"/>
  </cols>
  <sheetData>
    <row r="1" spans="1:19" ht="14" x14ac:dyDescent="0.3">
      <c r="A1" s="1"/>
      <c r="B1" s="2"/>
      <c r="C1" s="32"/>
      <c r="D1" s="32"/>
      <c r="E1" s="32"/>
      <c r="F1" s="11" t="e">
        <f>#REF!</f>
        <v>#REF!</v>
      </c>
      <c r="G1" s="3"/>
      <c r="H1" s="3"/>
      <c r="I1" s="3"/>
      <c r="J1" s="3"/>
      <c r="K1" s="33"/>
      <c r="L1" s="66"/>
      <c r="M1" s="66"/>
      <c r="N1" s="67"/>
      <c r="O1" s="67"/>
      <c r="P1" s="68"/>
      <c r="Q1" s="68"/>
      <c r="R1" s="33"/>
    </row>
    <row r="2" spans="1:19" ht="14" x14ac:dyDescent="0.3">
      <c r="A2" s="5"/>
      <c r="B2" s="6"/>
      <c r="C2" s="32"/>
      <c r="D2" s="32"/>
      <c r="E2" s="32"/>
      <c r="F2" s="11" t="e">
        <f>#REF!</f>
        <v>#REF!</v>
      </c>
      <c r="G2" s="3"/>
      <c r="H2" s="3"/>
      <c r="I2" s="3"/>
      <c r="J2" s="3"/>
      <c r="K2" s="33"/>
      <c r="L2" s="66"/>
      <c r="M2" s="66"/>
      <c r="N2" s="67"/>
      <c r="O2" s="67"/>
      <c r="P2" s="68"/>
      <c r="Q2" s="68"/>
      <c r="R2" s="33"/>
    </row>
    <row r="3" spans="1:19" ht="13" x14ac:dyDescent="0.3">
      <c r="A3" s="7"/>
      <c r="B3" s="6"/>
      <c r="C3" s="32"/>
      <c r="D3" s="32"/>
      <c r="E3" s="32"/>
      <c r="F3" s="11" t="e">
        <f>#REF!</f>
        <v>#REF!</v>
      </c>
      <c r="G3" s="3"/>
      <c r="H3" s="3"/>
      <c r="I3" s="3"/>
      <c r="J3" s="3"/>
      <c r="K3" s="33"/>
      <c r="L3" s="66"/>
      <c r="M3" s="66"/>
      <c r="N3" s="67"/>
      <c r="O3" s="67"/>
      <c r="P3" s="68"/>
      <c r="Q3" s="68"/>
      <c r="R3" s="33"/>
    </row>
    <row r="4" spans="1:19" ht="13" x14ac:dyDescent="0.3">
      <c r="A4" s="7"/>
      <c r="B4" s="6"/>
      <c r="C4" s="32"/>
      <c r="D4" s="32"/>
      <c r="E4" s="32"/>
      <c r="F4" s="11"/>
      <c r="G4" s="3"/>
      <c r="H4" s="3"/>
      <c r="I4" s="3"/>
      <c r="J4" s="3"/>
      <c r="K4" s="33"/>
      <c r="L4" s="66"/>
      <c r="M4" s="66"/>
      <c r="N4" s="67"/>
      <c r="O4" s="67"/>
      <c r="P4" s="68"/>
      <c r="Q4" s="68"/>
      <c r="R4" s="33"/>
    </row>
    <row r="5" spans="1:19" ht="14" x14ac:dyDescent="0.3">
      <c r="A5" s="9"/>
      <c r="B5" s="10"/>
      <c r="C5" s="35"/>
      <c r="D5" s="32"/>
      <c r="E5" s="32"/>
      <c r="F5" s="11" t="e">
        <f>#REF!</f>
        <v>#REF!</v>
      </c>
      <c r="G5" s="3"/>
      <c r="H5" s="3"/>
      <c r="I5" s="3"/>
      <c r="J5" s="3"/>
      <c r="K5" s="33"/>
      <c r="L5" s="66"/>
      <c r="M5" s="66"/>
      <c r="N5" s="67"/>
      <c r="O5" s="67"/>
      <c r="P5" s="68"/>
      <c r="Q5" s="68"/>
      <c r="R5" s="33"/>
    </row>
    <row r="6" spans="1:19" x14ac:dyDescent="0.25">
      <c r="A6" s="12"/>
      <c r="B6" s="10"/>
      <c r="C6" s="35"/>
      <c r="D6" s="12"/>
      <c r="E6" s="8"/>
      <c r="F6" s="8"/>
      <c r="G6" s="3"/>
      <c r="H6" s="3"/>
      <c r="I6" s="3"/>
      <c r="J6" s="3"/>
      <c r="K6" s="33"/>
      <c r="L6" s="66"/>
      <c r="M6" s="66"/>
      <c r="N6" s="67"/>
      <c r="O6" s="67"/>
      <c r="P6" s="68"/>
      <c r="Q6" s="68"/>
      <c r="R6" s="33"/>
    </row>
    <row r="7" spans="1:19" x14ac:dyDescent="0.25">
      <c r="A7" s="12"/>
      <c r="B7" s="13"/>
      <c r="C7" s="36"/>
      <c r="D7" s="12"/>
      <c r="E7" s="8"/>
      <c r="F7" s="8"/>
      <c r="G7" s="3"/>
      <c r="H7" s="3"/>
      <c r="I7" s="3"/>
      <c r="J7" s="3"/>
      <c r="K7" s="33"/>
      <c r="L7" s="66"/>
      <c r="M7" s="66"/>
      <c r="N7" s="67"/>
      <c r="O7" s="67"/>
      <c r="P7" s="68"/>
      <c r="Q7" s="68"/>
      <c r="R7" s="33"/>
    </row>
    <row r="8" spans="1:19" ht="20.25" customHeight="1" x14ac:dyDescent="0.25">
      <c r="A8" s="91" t="s">
        <v>52</v>
      </c>
      <c r="B8" s="91"/>
      <c r="C8" s="91"/>
      <c r="D8" s="91"/>
      <c r="E8" s="91"/>
      <c r="F8" s="91"/>
      <c r="G8" s="91"/>
      <c r="H8" s="91"/>
      <c r="I8" s="91"/>
      <c r="J8" s="91"/>
      <c r="K8" s="91"/>
      <c r="L8" s="66"/>
      <c r="M8" s="66"/>
      <c r="N8" s="67"/>
      <c r="O8" s="67"/>
      <c r="P8" s="68"/>
      <c r="Q8" s="68"/>
      <c r="R8" s="33"/>
    </row>
    <row r="9" spans="1:19" ht="18.75" customHeight="1" thickBot="1" x14ac:dyDescent="0.3">
      <c r="A9" s="97" t="s">
        <v>53</v>
      </c>
      <c r="B9" s="97"/>
      <c r="C9" s="97"/>
      <c r="D9" s="97"/>
      <c r="E9" s="97"/>
      <c r="F9" s="97"/>
      <c r="G9" s="91"/>
      <c r="H9" s="91"/>
      <c r="I9" s="91"/>
      <c r="J9" s="91"/>
      <c r="K9" s="91"/>
      <c r="L9" s="66"/>
      <c r="M9" s="66"/>
      <c r="N9" s="67"/>
      <c r="O9" s="67"/>
      <c r="P9" s="68"/>
      <c r="Q9" s="68"/>
      <c r="R9" s="33"/>
    </row>
    <row r="10" spans="1:19" ht="38" thickBot="1" x14ac:dyDescent="0.3">
      <c r="A10" s="37" t="s">
        <v>1</v>
      </c>
      <c r="B10" s="38" t="s">
        <v>82</v>
      </c>
      <c r="C10" s="39" t="s">
        <v>0</v>
      </c>
      <c r="D10" s="39" t="s">
        <v>3</v>
      </c>
      <c r="E10" s="39" t="s">
        <v>16</v>
      </c>
      <c r="F10" s="40" t="s">
        <v>2</v>
      </c>
      <c r="G10" s="40" t="s">
        <v>73</v>
      </c>
      <c r="H10" s="40" t="s">
        <v>74</v>
      </c>
      <c r="I10" s="40" t="s">
        <v>75</v>
      </c>
      <c r="J10" s="40" t="s">
        <v>76</v>
      </c>
      <c r="K10" s="40" t="s">
        <v>77</v>
      </c>
      <c r="L10" s="66"/>
      <c r="M10" s="66"/>
      <c r="N10" s="67"/>
      <c r="O10" s="67"/>
      <c r="P10" s="68"/>
      <c r="Q10" s="68"/>
      <c r="R10" s="33"/>
    </row>
    <row r="11" spans="1:19" ht="15.5" x14ac:dyDescent="0.25">
      <c r="A11" s="14"/>
      <c r="B11" s="92"/>
      <c r="C11" s="93"/>
      <c r="D11" s="93"/>
      <c r="E11" s="93"/>
      <c r="F11" s="93"/>
      <c r="G11" s="3"/>
      <c r="H11" s="3"/>
      <c r="I11" s="3"/>
      <c r="J11" s="3"/>
      <c r="K11" s="33"/>
      <c r="L11" s="66"/>
      <c r="M11" s="66"/>
      <c r="N11" s="67"/>
      <c r="O11" s="67"/>
      <c r="P11" s="68"/>
      <c r="Q11" s="68"/>
      <c r="R11" s="33"/>
    </row>
    <row r="12" spans="1:19" s="42" customFormat="1" ht="15.5" x14ac:dyDescent="0.25">
      <c r="A12" s="41"/>
      <c r="B12" s="94" t="s">
        <v>67</v>
      </c>
      <c r="C12" s="94"/>
      <c r="D12" s="94"/>
      <c r="E12" s="94"/>
      <c r="F12" s="94"/>
      <c r="G12" s="75"/>
      <c r="H12" s="75"/>
      <c r="I12" s="75"/>
      <c r="J12" s="75"/>
      <c r="K12" s="76"/>
      <c r="L12" s="66"/>
      <c r="M12" s="66"/>
      <c r="N12" s="67"/>
      <c r="O12" s="67"/>
      <c r="P12" s="68"/>
      <c r="Q12" s="68"/>
      <c r="R12" s="33"/>
      <c r="S12" s="34"/>
    </row>
    <row r="13" spans="1:19" s="42" customFormat="1" ht="37.5" x14ac:dyDescent="0.25">
      <c r="A13" s="20">
        <f t="shared" ref="A13:A33" si="0">IF(F13="",A12,A12+1)</f>
        <v>1</v>
      </c>
      <c r="B13" s="43" t="s">
        <v>70</v>
      </c>
      <c r="C13" s="44"/>
      <c r="D13" s="45" t="s">
        <v>29</v>
      </c>
      <c r="E13" s="17" t="s">
        <v>4</v>
      </c>
      <c r="F13" s="17">
        <v>1</v>
      </c>
      <c r="G13" s="72">
        <v>2640.3</v>
      </c>
      <c r="H13" s="72">
        <f>G13*F13</f>
        <v>2640.3</v>
      </c>
      <c r="I13" s="72">
        <v>3000</v>
      </c>
      <c r="J13" s="72">
        <f>I13*F13</f>
        <v>3000</v>
      </c>
      <c r="K13" s="77">
        <f>H13+J13</f>
        <v>5640.3</v>
      </c>
      <c r="L13" s="66"/>
      <c r="M13" s="69"/>
      <c r="N13" s="70"/>
      <c r="O13" s="70"/>
      <c r="P13" s="71"/>
      <c r="Q13" s="71"/>
      <c r="R13" s="33"/>
      <c r="S13" s="34"/>
    </row>
    <row r="14" spans="1:19" s="42" customFormat="1" x14ac:dyDescent="0.25">
      <c r="A14" s="20">
        <v>2</v>
      </c>
      <c r="B14" s="16" t="s">
        <v>22</v>
      </c>
      <c r="C14" s="44"/>
      <c r="D14" s="45" t="s">
        <v>29</v>
      </c>
      <c r="E14" s="17" t="s">
        <v>4</v>
      </c>
      <c r="F14" s="17">
        <v>1</v>
      </c>
      <c r="G14" s="72">
        <v>490.1</v>
      </c>
      <c r="H14" s="72">
        <f t="shared" ref="H14:H70" si="1">G14*F14</f>
        <v>490.1</v>
      </c>
      <c r="I14" s="72">
        <v>50</v>
      </c>
      <c r="J14" s="72">
        <f t="shared" ref="J14:J70" si="2">I14*F14</f>
        <v>50</v>
      </c>
      <c r="K14" s="77">
        <f t="shared" ref="K14:K70" si="3">H14+J14</f>
        <v>540.1</v>
      </c>
      <c r="L14" s="66"/>
      <c r="M14" s="69"/>
      <c r="N14" s="70"/>
      <c r="O14" s="70"/>
      <c r="P14" s="71"/>
      <c r="Q14" s="71"/>
      <c r="R14" s="33"/>
      <c r="S14" s="34"/>
    </row>
    <row r="15" spans="1:19" s="47" customFormat="1" x14ac:dyDescent="0.25">
      <c r="A15" s="17">
        <v>3</v>
      </c>
      <c r="B15" s="46" t="s">
        <v>18</v>
      </c>
      <c r="C15" s="44"/>
      <c r="D15" s="45" t="s">
        <v>29</v>
      </c>
      <c r="E15" s="17" t="s">
        <v>4</v>
      </c>
      <c r="F15" s="17">
        <v>149</v>
      </c>
      <c r="G15" s="72">
        <v>31.85</v>
      </c>
      <c r="H15" s="72">
        <f t="shared" si="1"/>
        <v>4745.6500000000005</v>
      </c>
      <c r="I15" s="72">
        <v>7</v>
      </c>
      <c r="J15" s="72">
        <f t="shared" si="2"/>
        <v>1043</v>
      </c>
      <c r="K15" s="77">
        <f t="shared" si="3"/>
        <v>5788.6500000000005</v>
      </c>
      <c r="L15" s="66"/>
      <c r="M15" s="69"/>
      <c r="N15" s="70"/>
      <c r="O15" s="70"/>
      <c r="P15" s="71"/>
      <c r="Q15" s="71"/>
      <c r="R15" s="33"/>
      <c r="S15" s="33"/>
    </row>
    <row r="16" spans="1:19" s="47" customFormat="1" x14ac:dyDescent="0.25">
      <c r="A16" s="20">
        <v>4</v>
      </c>
      <c r="B16" s="46" t="s">
        <v>43</v>
      </c>
      <c r="C16" s="44"/>
      <c r="D16" s="45" t="s">
        <v>29</v>
      </c>
      <c r="E16" s="17" t="s">
        <v>4</v>
      </c>
      <c r="F16" s="17">
        <v>64</v>
      </c>
      <c r="G16" s="72">
        <v>37.050000000000004</v>
      </c>
      <c r="H16" s="72">
        <f t="shared" si="1"/>
        <v>2371.2000000000003</v>
      </c>
      <c r="I16" s="72">
        <v>9</v>
      </c>
      <c r="J16" s="72">
        <f t="shared" si="2"/>
        <v>576</v>
      </c>
      <c r="K16" s="77">
        <f t="shared" si="3"/>
        <v>2947.2000000000003</v>
      </c>
      <c r="L16" s="66"/>
      <c r="M16" s="69"/>
      <c r="N16" s="70"/>
      <c r="O16" s="70"/>
      <c r="P16" s="71"/>
      <c r="Q16" s="71"/>
      <c r="R16" s="33"/>
      <c r="S16" s="33"/>
    </row>
    <row r="17" spans="1:19" s="47" customFormat="1" x14ac:dyDescent="0.25">
      <c r="A17" s="20">
        <f t="shared" si="0"/>
        <v>5</v>
      </c>
      <c r="B17" s="46" t="s">
        <v>44</v>
      </c>
      <c r="C17" s="44"/>
      <c r="D17" s="45" t="s">
        <v>29</v>
      </c>
      <c r="E17" s="17" t="s">
        <v>4</v>
      </c>
      <c r="F17" s="17">
        <v>18</v>
      </c>
      <c r="G17" s="72">
        <v>159.9</v>
      </c>
      <c r="H17" s="72">
        <f t="shared" si="1"/>
        <v>2878.2000000000003</v>
      </c>
      <c r="I17" s="72">
        <v>50</v>
      </c>
      <c r="J17" s="72">
        <f t="shared" si="2"/>
        <v>900</v>
      </c>
      <c r="K17" s="77">
        <f t="shared" si="3"/>
        <v>3778.2000000000003</v>
      </c>
      <c r="L17" s="66"/>
      <c r="M17" s="69"/>
      <c r="N17" s="70"/>
      <c r="O17" s="70"/>
      <c r="P17" s="71"/>
      <c r="Q17" s="71"/>
      <c r="R17" s="33"/>
      <c r="S17" s="33"/>
    </row>
    <row r="18" spans="1:19" s="47" customFormat="1" x14ac:dyDescent="0.25">
      <c r="A18" s="20">
        <f t="shared" si="0"/>
        <v>6</v>
      </c>
      <c r="B18" s="46" t="s">
        <v>56</v>
      </c>
      <c r="C18" s="44"/>
      <c r="D18" s="45" t="s">
        <v>29</v>
      </c>
      <c r="E18" s="17" t="s">
        <v>4</v>
      </c>
      <c r="F18" s="17">
        <v>7</v>
      </c>
      <c r="G18" s="72">
        <v>663</v>
      </c>
      <c r="H18" s="72">
        <f t="shared" si="1"/>
        <v>4641</v>
      </c>
      <c r="I18" s="72">
        <v>150</v>
      </c>
      <c r="J18" s="72">
        <f t="shared" si="2"/>
        <v>1050</v>
      </c>
      <c r="K18" s="77">
        <f t="shared" si="3"/>
        <v>5691</v>
      </c>
      <c r="L18" s="66"/>
      <c r="M18" s="69"/>
      <c r="N18" s="70"/>
      <c r="O18" s="70"/>
      <c r="P18" s="71"/>
      <c r="Q18" s="71"/>
      <c r="R18" s="33"/>
      <c r="S18" s="33"/>
    </row>
    <row r="19" spans="1:19" s="47" customFormat="1" x14ac:dyDescent="0.25">
      <c r="A19" s="20">
        <v>5</v>
      </c>
      <c r="B19" s="46" t="s">
        <v>20</v>
      </c>
      <c r="C19" s="15"/>
      <c r="D19" s="45" t="s">
        <v>29</v>
      </c>
      <c r="E19" s="17" t="s">
        <v>4</v>
      </c>
      <c r="F19" s="17">
        <f>F15+F16+F17+F22</f>
        <v>237</v>
      </c>
      <c r="G19" s="72">
        <v>1.9500000000000002</v>
      </c>
      <c r="H19" s="72">
        <f t="shared" si="1"/>
        <v>462.15000000000003</v>
      </c>
      <c r="I19" s="72">
        <v>1</v>
      </c>
      <c r="J19" s="72">
        <f t="shared" si="2"/>
        <v>237</v>
      </c>
      <c r="K19" s="77">
        <f t="shared" si="3"/>
        <v>699.15000000000009</v>
      </c>
      <c r="L19" s="66"/>
      <c r="M19" s="69"/>
      <c r="N19" s="70"/>
      <c r="O19" s="70"/>
      <c r="P19" s="71"/>
      <c r="Q19" s="71"/>
      <c r="R19" s="33"/>
      <c r="S19" s="33"/>
    </row>
    <row r="20" spans="1:19" s="47" customFormat="1" x14ac:dyDescent="0.25">
      <c r="A20" s="20">
        <v>6</v>
      </c>
      <c r="B20" s="46" t="s">
        <v>6</v>
      </c>
      <c r="C20" s="48"/>
      <c r="D20" s="45" t="s">
        <v>29</v>
      </c>
      <c r="E20" s="17" t="s">
        <v>4</v>
      </c>
      <c r="F20" s="17">
        <v>44</v>
      </c>
      <c r="G20" s="72">
        <v>22.1</v>
      </c>
      <c r="H20" s="72">
        <f t="shared" si="1"/>
        <v>972.40000000000009</v>
      </c>
      <c r="I20" s="72">
        <v>7</v>
      </c>
      <c r="J20" s="72">
        <f t="shared" si="2"/>
        <v>308</v>
      </c>
      <c r="K20" s="77">
        <f t="shared" si="3"/>
        <v>1280.4000000000001</v>
      </c>
      <c r="L20" s="66"/>
      <c r="M20" s="69"/>
      <c r="N20" s="70"/>
      <c r="O20" s="70"/>
      <c r="P20" s="71"/>
      <c r="Q20" s="71"/>
      <c r="R20" s="33"/>
      <c r="S20" s="33"/>
    </row>
    <row r="21" spans="1:19" s="47" customFormat="1" x14ac:dyDescent="0.25">
      <c r="A21" s="20">
        <v>7</v>
      </c>
      <c r="B21" s="46" t="s">
        <v>21</v>
      </c>
      <c r="C21" s="48"/>
      <c r="D21" s="45" t="s">
        <v>29</v>
      </c>
      <c r="E21" s="17" t="s">
        <v>4</v>
      </c>
      <c r="F21" s="17">
        <f>F20</f>
        <v>44</v>
      </c>
      <c r="G21" s="72">
        <v>6.5</v>
      </c>
      <c r="H21" s="72">
        <f t="shared" si="1"/>
        <v>286</v>
      </c>
      <c r="I21" s="72">
        <v>1</v>
      </c>
      <c r="J21" s="72">
        <f t="shared" si="2"/>
        <v>44</v>
      </c>
      <c r="K21" s="77">
        <f t="shared" si="3"/>
        <v>330</v>
      </c>
      <c r="L21" s="66"/>
      <c r="M21" s="69"/>
      <c r="N21" s="70"/>
      <c r="O21" s="70"/>
      <c r="P21" s="71"/>
      <c r="Q21" s="71"/>
      <c r="R21" s="33"/>
      <c r="S21" s="33"/>
    </row>
    <row r="22" spans="1:19" s="47" customFormat="1" x14ac:dyDescent="0.25">
      <c r="A22" s="20">
        <f t="shared" si="0"/>
        <v>8</v>
      </c>
      <c r="B22" s="46" t="s">
        <v>25</v>
      </c>
      <c r="C22" s="48"/>
      <c r="D22" s="45" t="s">
        <v>29</v>
      </c>
      <c r="E22" s="17" t="s">
        <v>4</v>
      </c>
      <c r="F22" s="17">
        <v>6</v>
      </c>
      <c r="G22" s="72">
        <v>36.4</v>
      </c>
      <c r="H22" s="72">
        <f t="shared" si="1"/>
        <v>218.39999999999998</v>
      </c>
      <c r="I22" s="72">
        <v>9</v>
      </c>
      <c r="J22" s="72">
        <f t="shared" si="2"/>
        <v>54</v>
      </c>
      <c r="K22" s="77">
        <f t="shared" si="3"/>
        <v>272.39999999999998</v>
      </c>
      <c r="L22" s="66"/>
      <c r="M22" s="69"/>
      <c r="N22" s="70"/>
      <c r="O22" s="70"/>
      <c r="P22" s="71"/>
      <c r="Q22" s="71"/>
      <c r="R22" s="33"/>
      <c r="S22" s="33"/>
    </row>
    <row r="23" spans="1:19" s="47" customFormat="1" x14ac:dyDescent="0.25">
      <c r="A23" s="20">
        <f t="shared" si="0"/>
        <v>9</v>
      </c>
      <c r="B23" s="46" t="s">
        <v>7</v>
      </c>
      <c r="C23" s="48"/>
      <c r="D23" s="45" t="s">
        <v>29</v>
      </c>
      <c r="E23" s="17" t="s">
        <v>4</v>
      </c>
      <c r="F23" s="17">
        <v>20</v>
      </c>
      <c r="G23" s="72">
        <v>117</v>
      </c>
      <c r="H23" s="72">
        <f t="shared" si="1"/>
        <v>2340</v>
      </c>
      <c r="I23" s="72">
        <v>10</v>
      </c>
      <c r="J23" s="72">
        <f t="shared" si="2"/>
        <v>200</v>
      </c>
      <c r="K23" s="77">
        <f t="shared" si="3"/>
        <v>2540</v>
      </c>
      <c r="L23" s="66"/>
      <c r="M23" s="69"/>
      <c r="N23" s="70"/>
      <c r="O23" s="70"/>
      <c r="P23" s="71"/>
      <c r="Q23" s="71"/>
      <c r="R23" s="33"/>
      <c r="S23" s="33"/>
    </row>
    <row r="24" spans="1:19" s="47" customFormat="1" x14ac:dyDescent="0.25">
      <c r="A24" s="20">
        <v>8</v>
      </c>
      <c r="B24" s="46" t="s">
        <v>47</v>
      </c>
      <c r="C24" s="48"/>
      <c r="D24" s="45" t="s">
        <v>29</v>
      </c>
      <c r="E24" s="17" t="s">
        <v>4</v>
      </c>
      <c r="F24" s="17">
        <f>F25+F26</f>
        <v>44</v>
      </c>
      <c r="G24" s="72">
        <v>449.8</v>
      </c>
      <c r="H24" s="72">
        <f t="shared" si="1"/>
        <v>19791.2</v>
      </c>
      <c r="I24" s="72">
        <v>20</v>
      </c>
      <c r="J24" s="72">
        <f t="shared" si="2"/>
        <v>880</v>
      </c>
      <c r="K24" s="77">
        <f t="shared" si="3"/>
        <v>20671.2</v>
      </c>
      <c r="L24" s="66"/>
      <c r="M24" s="69"/>
      <c r="N24" s="70"/>
      <c r="O24" s="70"/>
      <c r="P24" s="71"/>
      <c r="Q24" s="71"/>
      <c r="R24" s="33"/>
      <c r="S24" s="33"/>
    </row>
    <row r="25" spans="1:19" s="47" customFormat="1" x14ac:dyDescent="0.25">
      <c r="A25" s="20">
        <v>9</v>
      </c>
      <c r="B25" s="46" t="s">
        <v>45</v>
      </c>
      <c r="C25" s="48"/>
      <c r="D25" s="45" t="s">
        <v>29</v>
      </c>
      <c r="E25" s="17" t="s">
        <v>4</v>
      </c>
      <c r="F25" s="17">
        <v>37</v>
      </c>
      <c r="G25" s="72">
        <v>41.6</v>
      </c>
      <c r="H25" s="72">
        <f t="shared" si="1"/>
        <v>1539.2</v>
      </c>
      <c r="I25" s="72">
        <v>15</v>
      </c>
      <c r="J25" s="72">
        <f t="shared" si="2"/>
        <v>555</v>
      </c>
      <c r="K25" s="77">
        <f t="shared" si="3"/>
        <v>2094.1999999999998</v>
      </c>
      <c r="L25" s="66"/>
      <c r="M25" s="69"/>
      <c r="N25" s="70"/>
      <c r="O25" s="70"/>
      <c r="P25" s="71"/>
      <c r="Q25" s="71"/>
      <c r="R25" s="33"/>
      <c r="S25" s="33"/>
    </row>
    <row r="26" spans="1:19" s="47" customFormat="1" x14ac:dyDescent="0.25">
      <c r="A26" s="20">
        <v>10</v>
      </c>
      <c r="B26" s="46" t="s">
        <v>46</v>
      </c>
      <c r="C26" s="48"/>
      <c r="D26" s="45" t="s">
        <v>29</v>
      </c>
      <c r="E26" s="17" t="s">
        <v>4</v>
      </c>
      <c r="F26" s="17">
        <v>7</v>
      </c>
      <c r="G26" s="72">
        <v>65</v>
      </c>
      <c r="H26" s="72">
        <f t="shared" si="1"/>
        <v>455</v>
      </c>
      <c r="I26" s="72">
        <v>15</v>
      </c>
      <c r="J26" s="72">
        <f t="shared" si="2"/>
        <v>105</v>
      </c>
      <c r="K26" s="77">
        <f t="shared" si="3"/>
        <v>560</v>
      </c>
      <c r="L26" s="66"/>
      <c r="M26" s="69"/>
      <c r="N26" s="70"/>
      <c r="O26" s="70"/>
      <c r="P26" s="71"/>
      <c r="Q26" s="71"/>
      <c r="R26" s="33"/>
      <c r="S26" s="33"/>
    </row>
    <row r="27" spans="1:19" s="47" customFormat="1" x14ac:dyDescent="0.25">
      <c r="A27" s="20">
        <f t="shared" si="0"/>
        <v>11</v>
      </c>
      <c r="B27" s="46" t="s">
        <v>8</v>
      </c>
      <c r="C27" s="48"/>
      <c r="D27" s="45" t="s">
        <v>29</v>
      </c>
      <c r="E27" s="17" t="s">
        <v>4</v>
      </c>
      <c r="F27" s="17">
        <v>1</v>
      </c>
      <c r="G27" s="72">
        <v>0</v>
      </c>
      <c r="H27" s="72">
        <f t="shared" si="1"/>
        <v>0</v>
      </c>
      <c r="I27" s="72">
        <v>0</v>
      </c>
      <c r="J27" s="72">
        <f t="shared" si="2"/>
        <v>0</v>
      </c>
      <c r="K27" s="77">
        <f t="shared" si="3"/>
        <v>0</v>
      </c>
      <c r="L27" s="66"/>
      <c r="M27" s="69"/>
      <c r="N27" s="70"/>
      <c r="O27" s="70"/>
      <c r="P27" s="71"/>
      <c r="Q27" s="71"/>
      <c r="R27" s="33"/>
      <c r="S27" s="33"/>
    </row>
    <row r="28" spans="1:19" s="47" customFormat="1" x14ac:dyDescent="0.25">
      <c r="A28" s="20">
        <f t="shared" si="0"/>
        <v>12</v>
      </c>
      <c r="B28" s="46" t="s">
        <v>9</v>
      </c>
      <c r="C28" s="48"/>
      <c r="D28" s="45" t="s">
        <v>29</v>
      </c>
      <c r="E28" s="17" t="s">
        <v>4</v>
      </c>
      <c r="F28" s="17">
        <v>1</v>
      </c>
      <c r="G28" s="72">
        <v>1950</v>
      </c>
      <c r="H28" s="72">
        <f t="shared" si="1"/>
        <v>1950</v>
      </c>
      <c r="I28" s="72">
        <v>200</v>
      </c>
      <c r="J28" s="72">
        <f t="shared" si="2"/>
        <v>200</v>
      </c>
      <c r="K28" s="77">
        <f t="shared" si="3"/>
        <v>2150</v>
      </c>
      <c r="L28" s="66"/>
      <c r="M28" s="69"/>
      <c r="N28" s="70"/>
      <c r="O28" s="70"/>
      <c r="P28" s="71"/>
      <c r="Q28" s="71"/>
      <c r="R28" s="33"/>
      <c r="S28" s="33"/>
    </row>
    <row r="29" spans="1:19" s="47" customFormat="1" x14ac:dyDescent="0.25">
      <c r="A29" s="20">
        <v>11</v>
      </c>
      <c r="B29" s="46" t="s">
        <v>10</v>
      </c>
      <c r="C29" s="48"/>
      <c r="D29" s="45" t="s">
        <v>29</v>
      </c>
      <c r="E29" s="17" t="s">
        <v>4</v>
      </c>
      <c r="F29" s="17">
        <v>2</v>
      </c>
      <c r="G29" s="72">
        <v>52</v>
      </c>
      <c r="H29" s="72">
        <f t="shared" si="1"/>
        <v>104</v>
      </c>
      <c r="I29" s="72">
        <v>20</v>
      </c>
      <c r="J29" s="72">
        <f t="shared" si="2"/>
        <v>40</v>
      </c>
      <c r="K29" s="77">
        <f t="shared" si="3"/>
        <v>144</v>
      </c>
      <c r="L29" s="66"/>
      <c r="M29" s="69"/>
      <c r="N29" s="70"/>
      <c r="O29" s="70"/>
      <c r="P29" s="71"/>
      <c r="Q29" s="71"/>
      <c r="R29" s="33"/>
      <c r="S29" s="33"/>
    </row>
    <row r="30" spans="1:19" s="47" customFormat="1" x14ac:dyDescent="0.25">
      <c r="A30" s="20">
        <v>12</v>
      </c>
      <c r="B30" s="46" t="s">
        <v>48</v>
      </c>
      <c r="C30" s="48"/>
      <c r="D30" s="45" t="s">
        <v>29</v>
      </c>
      <c r="E30" s="17" t="s">
        <v>4</v>
      </c>
      <c r="F30" s="17">
        <f>F29</f>
        <v>2</v>
      </c>
      <c r="G30" s="72">
        <v>39</v>
      </c>
      <c r="H30" s="72">
        <f t="shared" si="1"/>
        <v>78</v>
      </c>
      <c r="I30" s="72">
        <v>5</v>
      </c>
      <c r="J30" s="72">
        <f t="shared" si="2"/>
        <v>10</v>
      </c>
      <c r="K30" s="77">
        <f t="shared" si="3"/>
        <v>88</v>
      </c>
      <c r="L30" s="66"/>
      <c r="M30" s="69"/>
      <c r="N30" s="70"/>
      <c r="O30" s="70"/>
      <c r="P30" s="71"/>
      <c r="Q30" s="71"/>
      <c r="R30" s="33"/>
      <c r="S30" s="33"/>
    </row>
    <row r="31" spans="1:19" s="47" customFormat="1" x14ac:dyDescent="0.25">
      <c r="A31" s="20">
        <v>13</v>
      </c>
      <c r="B31" s="46" t="s">
        <v>17</v>
      </c>
      <c r="C31" s="48"/>
      <c r="D31" s="17" t="s">
        <v>30</v>
      </c>
      <c r="E31" s="17" t="s">
        <v>5</v>
      </c>
      <c r="F31" s="17">
        <v>5785</v>
      </c>
      <c r="G31" s="72">
        <v>0.78</v>
      </c>
      <c r="H31" s="72">
        <f t="shared" si="1"/>
        <v>4512.3</v>
      </c>
      <c r="I31" s="72">
        <v>0.5</v>
      </c>
      <c r="J31" s="72">
        <f t="shared" si="2"/>
        <v>2892.5</v>
      </c>
      <c r="K31" s="77">
        <f t="shared" si="3"/>
        <v>7404.8</v>
      </c>
      <c r="L31" s="66"/>
      <c r="M31" s="69"/>
      <c r="N31" s="70"/>
      <c r="O31" s="70"/>
      <c r="P31" s="71"/>
      <c r="Q31" s="71"/>
      <c r="R31" s="33"/>
      <c r="S31" s="33"/>
    </row>
    <row r="32" spans="1:19" s="47" customFormat="1" ht="24" customHeight="1" x14ac:dyDescent="0.25">
      <c r="A32" s="20">
        <f t="shared" si="0"/>
        <v>14</v>
      </c>
      <c r="B32" s="21" t="s">
        <v>15</v>
      </c>
      <c r="C32" s="15"/>
      <c r="D32" s="18" t="s">
        <v>28</v>
      </c>
      <c r="E32" s="17" t="s">
        <v>4</v>
      </c>
      <c r="F32" s="17">
        <f>F31*2</f>
        <v>11570</v>
      </c>
      <c r="G32" s="72">
        <v>1.3</v>
      </c>
      <c r="H32" s="72">
        <f t="shared" si="1"/>
        <v>15041</v>
      </c>
      <c r="I32" s="72">
        <v>0.6</v>
      </c>
      <c r="J32" s="72">
        <f t="shared" si="2"/>
        <v>6942</v>
      </c>
      <c r="K32" s="77">
        <f t="shared" si="3"/>
        <v>21983</v>
      </c>
      <c r="L32" s="66"/>
      <c r="M32" s="69"/>
      <c r="N32" s="70"/>
      <c r="O32" s="70"/>
      <c r="P32" s="71"/>
      <c r="Q32" s="71"/>
      <c r="R32" s="33"/>
      <c r="S32" s="33"/>
    </row>
    <row r="33" spans="1:19" s="47" customFormat="1" x14ac:dyDescent="0.25">
      <c r="A33" s="79">
        <f t="shared" si="0"/>
        <v>15</v>
      </c>
      <c r="B33" s="80" t="s">
        <v>14</v>
      </c>
      <c r="C33" s="81"/>
      <c r="D33" s="82" t="s">
        <v>27</v>
      </c>
      <c r="E33" s="83" t="s">
        <v>5</v>
      </c>
      <c r="F33" s="83">
        <v>40</v>
      </c>
      <c r="G33" s="78">
        <v>1.4300000000000002</v>
      </c>
      <c r="H33" s="78">
        <f t="shared" si="1"/>
        <v>57.2</v>
      </c>
      <c r="I33" s="78">
        <v>0.6</v>
      </c>
      <c r="J33" s="78">
        <f t="shared" si="2"/>
        <v>24</v>
      </c>
      <c r="K33" s="84">
        <f t="shared" si="3"/>
        <v>81.2</v>
      </c>
      <c r="L33" s="66"/>
      <c r="M33" s="69"/>
      <c r="N33" s="70"/>
      <c r="O33" s="70"/>
      <c r="P33" s="71"/>
      <c r="Q33" s="71"/>
      <c r="R33" s="33"/>
      <c r="S33" s="33"/>
    </row>
    <row r="34" spans="1:19" s="42" customFormat="1" x14ac:dyDescent="0.25">
      <c r="A34" s="49"/>
      <c r="B34" s="50"/>
      <c r="C34" s="51"/>
      <c r="D34" s="52"/>
      <c r="E34" s="53"/>
      <c r="F34" s="53"/>
      <c r="G34" s="85"/>
      <c r="H34" s="85"/>
      <c r="I34" s="85"/>
      <c r="J34" s="85"/>
      <c r="K34" s="86"/>
      <c r="L34" s="66"/>
      <c r="M34" s="69"/>
      <c r="N34" s="70"/>
      <c r="O34" s="70"/>
      <c r="P34" s="71"/>
      <c r="Q34" s="71"/>
      <c r="R34" s="33"/>
      <c r="S34" s="34"/>
    </row>
    <row r="35" spans="1:19" s="42" customFormat="1" ht="15.5" x14ac:dyDescent="0.25">
      <c r="A35" s="55"/>
      <c r="B35" s="95" t="s">
        <v>68</v>
      </c>
      <c r="C35" s="96"/>
      <c r="D35" s="96"/>
      <c r="E35" s="96"/>
      <c r="F35" s="96"/>
      <c r="G35" s="75"/>
      <c r="H35" s="75"/>
      <c r="I35" s="75"/>
      <c r="J35" s="75"/>
      <c r="K35" s="75"/>
      <c r="L35" s="66"/>
      <c r="M35" s="69"/>
      <c r="N35" s="70"/>
      <c r="O35" s="70"/>
      <c r="P35" s="71"/>
      <c r="Q35" s="71"/>
      <c r="R35" s="33"/>
      <c r="S35" s="34"/>
    </row>
    <row r="36" spans="1:19" s="47" customFormat="1" x14ac:dyDescent="0.25">
      <c r="A36" s="20">
        <v>1</v>
      </c>
      <c r="B36" s="46" t="s">
        <v>50</v>
      </c>
      <c r="C36" s="48"/>
      <c r="D36" s="45" t="s">
        <v>78</v>
      </c>
      <c r="E36" s="17" t="s">
        <v>4</v>
      </c>
      <c r="F36" s="17">
        <v>2</v>
      </c>
      <c r="G36" s="72">
        <v>754</v>
      </c>
      <c r="H36" s="72">
        <f t="shared" si="1"/>
        <v>1508</v>
      </c>
      <c r="I36" s="72">
        <v>50</v>
      </c>
      <c r="J36" s="72">
        <f t="shared" si="2"/>
        <v>100</v>
      </c>
      <c r="K36" s="77">
        <f t="shared" si="3"/>
        <v>1608</v>
      </c>
      <c r="L36" s="66"/>
      <c r="M36" s="69"/>
      <c r="N36" s="70"/>
      <c r="O36" s="70"/>
      <c r="P36" s="71"/>
      <c r="Q36" s="71"/>
      <c r="R36" s="33"/>
      <c r="S36" s="33"/>
    </row>
    <row r="37" spans="1:19" s="47" customFormat="1" x14ac:dyDescent="0.25">
      <c r="A37" s="20">
        <v>2</v>
      </c>
      <c r="B37" s="46" t="s">
        <v>57</v>
      </c>
      <c r="C37" s="48"/>
      <c r="D37" s="45" t="s">
        <v>78</v>
      </c>
      <c r="E37" s="17" t="s">
        <v>4</v>
      </c>
      <c r="F37" s="17">
        <v>0</v>
      </c>
      <c r="G37" s="72">
        <v>0</v>
      </c>
      <c r="H37" s="72">
        <f t="shared" si="1"/>
        <v>0</v>
      </c>
      <c r="I37" s="72">
        <v>0</v>
      </c>
      <c r="J37" s="72">
        <f t="shared" si="2"/>
        <v>0</v>
      </c>
      <c r="K37" s="77">
        <f t="shared" si="3"/>
        <v>0</v>
      </c>
      <c r="L37" s="66"/>
      <c r="M37" s="69"/>
      <c r="N37" s="70"/>
      <c r="O37" s="70"/>
      <c r="P37" s="71"/>
      <c r="Q37" s="71"/>
      <c r="R37" s="33"/>
      <c r="S37" s="33"/>
    </row>
    <row r="38" spans="1:19" s="47" customFormat="1" x14ac:dyDescent="0.25">
      <c r="A38" s="20"/>
      <c r="B38" s="46" t="s">
        <v>71</v>
      </c>
      <c r="C38" s="48"/>
      <c r="D38" s="45" t="s">
        <v>78</v>
      </c>
      <c r="E38" s="17" t="s">
        <v>4</v>
      </c>
      <c r="F38" s="17">
        <v>1</v>
      </c>
      <c r="G38" s="72">
        <v>390</v>
      </c>
      <c r="H38" s="72">
        <f t="shared" si="1"/>
        <v>390</v>
      </c>
      <c r="I38" s="72">
        <v>50</v>
      </c>
      <c r="J38" s="72">
        <f t="shared" si="2"/>
        <v>50</v>
      </c>
      <c r="K38" s="77">
        <f t="shared" si="3"/>
        <v>440</v>
      </c>
      <c r="L38" s="66"/>
      <c r="M38" s="69"/>
      <c r="N38" s="70"/>
      <c r="O38" s="70"/>
      <c r="P38" s="71"/>
      <c r="Q38" s="71"/>
      <c r="R38" s="33"/>
      <c r="S38" s="33"/>
    </row>
    <row r="39" spans="1:19" s="47" customFormat="1" ht="25" x14ac:dyDescent="0.25">
      <c r="A39" s="20">
        <v>3</v>
      </c>
      <c r="B39" s="46" t="s">
        <v>62</v>
      </c>
      <c r="C39" s="48"/>
      <c r="D39" s="45" t="s">
        <v>78</v>
      </c>
      <c r="E39" s="17" t="s">
        <v>4</v>
      </c>
      <c r="F39" s="17">
        <v>42</v>
      </c>
      <c r="G39" s="72">
        <v>188.5</v>
      </c>
      <c r="H39" s="72">
        <f t="shared" si="1"/>
        <v>7917</v>
      </c>
      <c r="I39" s="72">
        <v>10</v>
      </c>
      <c r="J39" s="72">
        <f t="shared" si="2"/>
        <v>420</v>
      </c>
      <c r="K39" s="77">
        <f t="shared" si="3"/>
        <v>8337</v>
      </c>
      <c r="L39" s="66"/>
      <c r="M39" s="69"/>
      <c r="N39" s="70"/>
      <c r="O39" s="70"/>
      <c r="P39" s="71"/>
      <c r="Q39" s="71"/>
      <c r="R39" s="33"/>
      <c r="S39" s="33"/>
    </row>
    <row r="40" spans="1:19" s="47" customFormat="1" ht="25" x14ac:dyDescent="0.25">
      <c r="A40" s="20">
        <v>4</v>
      </c>
      <c r="B40" s="46" t="s">
        <v>63</v>
      </c>
      <c r="C40" s="48"/>
      <c r="D40" s="45" t="s">
        <v>78</v>
      </c>
      <c r="E40" s="17" t="s">
        <v>4</v>
      </c>
      <c r="F40" s="17">
        <v>5</v>
      </c>
      <c r="G40" s="72">
        <v>136.5</v>
      </c>
      <c r="H40" s="72">
        <f t="shared" si="1"/>
        <v>682.5</v>
      </c>
      <c r="I40" s="72">
        <v>15</v>
      </c>
      <c r="J40" s="72">
        <f t="shared" si="2"/>
        <v>75</v>
      </c>
      <c r="K40" s="77">
        <f t="shared" si="3"/>
        <v>757.5</v>
      </c>
      <c r="L40" s="66"/>
      <c r="M40" s="69"/>
      <c r="N40" s="70"/>
      <c r="O40" s="70"/>
      <c r="P40" s="71"/>
      <c r="Q40" s="71"/>
      <c r="R40" s="33"/>
      <c r="S40" s="33"/>
    </row>
    <row r="41" spans="1:19" s="47" customFormat="1" ht="25" x14ac:dyDescent="0.25">
      <c r="A41" s="20">
        <v>5</v>
      </c>
      <c r="B41" s="46" t="s">
        <v>35</v>
      </c>
      <c r="C41" s="48"/>
      <c r="D41" s="45" t="s">
        <v>78</v>
      </c>
      <c r="E41" s="17" t="s">
        <v>4</v>
      </c>
      <c r="F41" s="17">
        <v>1</v>
      </c>
      <c r="G41" s="72">
        <v>273</v>
      </c>
      <c r="H41" s="72">
        <f t="shared" si="1"/>
        <v>273</v>
      </c>
      <c r="I41" s="72">
        <v>10</v>
      </c>
      <c r="J41" s="72">
        <f t="shared" si="2"/>
        <v>10</v>
      </c>
      <c r="K41" s="77">
        <f t="shared" si="3"/>
        <v>283</v>
      </c>
      <c r="L41" s="66"/>
      <c r="M41" s="69"/>
      <c r="N41" s="70"/>
      <c r="O41" s="70"/>
      <c r="P41" s="71"/>
      <c r="Q41" s="71"/>
      <c r="R41" s="33"/>
      <c r="S41" s="33"/>
    </row>
    <row r="42" spans="1:19" s="47" customFormat="1" ht="25" x14ac:dyDescent="0.25">
      <c r="A42" s="20">
        <v>6</v>
      </c>
      <c r="B42" s="46" t="s">
        <v>36</v>
      </c>
      <c r="C42" s="48"/>
      <c r="D42" s="45" t="s">
        <v>78</v>
      </c>
      <c r="E42" s="17" t="s">
        <v>4</v>
      </c>
      <c r="F42" s="74">
        <v>0</v>
      </c>
      <c r="G42" s="73">
        <v>273</v>
      </c>
      <c r="H42" s="73">
        <f t="shared" si="1"/>
        <v>0</v>
      </c>
      <c r="I42" s="73">
        <v>12</v>
      </c>
      <c r="J42" s="73">
        <f t="shared" si="2"/>
        <v>0</v>
      </c>
      <c r="K42" s="89">
        <f t="shared" si="3"/>
        <v>0</v>
      </c>
      <c r="L42" s="66"/>
      <c r="M42" s="69"/>
      <c r="N42" s="70"/>
      <c r="O42" s="70"/>
      <c r="P42" s="71"/>
      <c r="Q42" s="71"/>
      <c r="R42" s="33"/>
      <c r="S42" s="33"/>
    </row>
    <row r="43" spans="1:19" s="47" customFormat="1" ht="25" x14ac:dyDescent="0.25">
      <c r="A43" s="20">
        <v>7</v>
      </c>
      <c r="B43" s="46" t="s">
        <v>32</v>
      </c>
      <c r="C43" s="48"/>
      <c r="D43" s="45" t="s">
        <v>78</v>
      </c>
      <c r="E43" s="17" t="s">
        <v>4</v>
      </c>
      <c r="F43" s="17">
        <v>2</v>
      </c>
      <c r="G43" s="72">
        <v>0</v>
      </c>
      <c r="H43" s="72">
        <f t="shared" si="1"/>
        <v>0</v>
      </c>
      <c r="I43" s="72">
        <v>15</v>
      </c>
      <c r="J43" s="72">
        <f t="shared" si="2"/>
        <v>30</v>
      </c>
      <c r="K43" s="77">
        <f t="shared" si="3"/>
        <v>30</v>
      </c>
      <c r="L43" s="66"/>
      <c r="M43" s="69"/>
      <c r="N43" s="70"/>
      <c r="O43" s="70"/>
      <c r="P43" s="71"/>
      <c r="Q43" s="71"/>
      <c r="R43" s="33"/>
      <c r="S43" s="33"/>
    </row>
    <row r="44" spans="1:19" s="47" customFormat="1" x14ac:dyDescent="0.25">
      <c r="A44" s="20">
        <v>8</v>
      </c>
      <c r="B44" s="46" t="s">
        <v>58</v>
      </c>
      <c r="C44" s="48"/>
      <c r="D44" s="17" t="s">
        <v>30</v>
      </c>
      <c r="E44" s="17" t="s">
        <v>4</v>
      </c>
      <c r="F44" s="17">
        <f>F41</f>
        <v>1</v>
      </c>
      <c r="G44" s="72">
        <v>45.760000000000005</v>
      </c>
      <c r="H44" s="72">
        <f t="shared" si="1"/>
        <v>45.760000000000005</v>
      </c>
      <c r="I44" s="72">
        <v>50</v>
      </c>
      <c r="J44" s="72">
        <f t="shared" si="2"/>
        <v>50</v>
      </c>
      <c r="K44" s="77">
        <f t="shared" si="3"/>
        <v>95.76</v>
      </c>
      <c r="L44" s="66"/>
      <c r="M44" s="69"/>
      <c r="N44" s="70"/>
      <c r="O44" s="70"/>
      <c r="P44" s="71"/>
      <c r="Q44" s="71"/>
      <c r="R44" s="33"/>
      <c r="S44" s="33"/>
    </row>
    <row r="45" spans="1:19" s="47" customFormat="1" x14ac:dyDescent="0.25">
      <c r="A45" s="20">
        <v>9</v>
      </c>
      <c r="B45" s="46" t="s">
        <v>42</v>
      </c>
      <c r="C45" s="48"/>
      <c r="D45" s="17" t="s">
        <v>30</v>
      </c>
      <c r="E45" s="17" t="s">
        <v>4</v>
      </c>
      <c r="F45" s="74">
        <v>0</v>
      </c>
      <c r="G45" s="73">
        <v>0</v>
      </c>
      <c r="H45" s="73">
        <f t="shared" si="1"/>
        <v>0</v>
      </c>
      <c r="I45" s="73">
        <v>0</v>
      </c>
      <c r="J45" s="73">
        <f t="shared" si="2"/>
        <v>0</v>
      </c>
      <c r="K45" s="89">
        <f t="shared" si="3"/>
        <v>0</v>
      </c>
      <c r="L45" s="66"/>
      <c r="M45" s="69"/>
      <c r="N45" s="70"/>
      <c r="O45" s="70"/>
      <c r="P45" s="71"/>
      <c r="Q45" s="71"/>
      <c r="R45" s="33"/>
      <c r="S45" s="33"/>
    </row>
    <row r="46" spans="1:19" s="47" customFormat="1" x14ac:dyDescent="0.25">
      <c r="A46" s="20">
        <v>10</v>
      </c>
      <c r="B46" s="46" t="s">
        <v>41</v>
      </c>
      <c r="C46" s="48"/>
      <c r="D46" s="17" t="s">
        <v>30</v>
      </c>
      <c r="E46" s="17" t="s">
        <v>4</v>
      </c>
      <c r="F46" s="17">
        <v>2</v>
      </c>
      <c r="G46" s="72">
        <v>96.33</v>
      </c>
      <c r="H46" s="72">
        <f t="shared" si="1"/>
        <v>192.66</v>
      </c>
      <c r="I46" s="72">
        <v>100</v>
      </c>
      <c r="J46" s="72">
        <f t="shared" si="2"/>
        <v>200</v>
      </c>
      <c r="K46" s="77">
        <f t="shared" si="3"/>
        <v>392.65999999999997</v>
      </c>
      <c r="L46" s="66"/>
      <c r="M46" s="69"/>
      <c r="N46" s="70"/>
      <c r="O46" s="70"/>
      <c r="P46" s="71"/>
      <c r="Q46" s="71"/>
      <c r="R46" s="33"/>
      <c r="S46" s="33"/>
    </row>
    <row r="47" spans="1:19" s="47" customFormat="1" x14ac:dyDescent="0.25">
      <c r="A47" s="20">
        <v>11</v>
      </c>
      <c r="B47" s="46" t="s">
        <v>33</v>
      </c>
      <c r="C47" s="48"/>
      <c r="D47" s="17" t="s">
        <v>30</v>
      </c>
      <c r="E47" s="17" t="s">
        <v>5</v>
      </c>
      <c r="F47" s="56">
        <v>974</v>
      </c>
      <c r="G47" s="17">
        <v>0.65</v>
      </c>
      <c r="H47" s="72">
        <f t="shared" si="1"/>
        <v>633.1</v>
      </c>
      <c r="I47" s="17">
        <v>0.5</v>
      </c>
      <c r="J47" s="72">
        <f t="shared" si="2"/>
        <v>487</v>
      </c>
      <c r="K47" s="77">
        <f t="shared" si="3"/>
        <v>1120.0999999999999</v>
      </c>
      <c r="L47" s="66"/>
      <c r="M47" s="69"/>
      <c r="N47" s="70"/>
      <c r="O47" s="70"/>
      <c r="P47" s="71"/>
      <c r="Q47" s="71"/>
      <c r="R47" s="33"/>
      <c r="S47" s="33"/>
    </row>
    <row r="48" spans="1:19" s="47" customFormat="1" x14ac:dyDescent="0.25">
      <c r="A48" s="20">
        <v>12</v>
      </c>
      <c r="B48" s="46" t="s">
        <v>26</v>
      </c>
      <c r="C48" s="48"/>
      <c r="D48" s="45" t="s">
        <v>27</v>
      </c>
      <c r="E48" s="17" t="s">
        <v>5</v>
      </c>
      <c r="F48" s="57">
        <f>F47</f>
        <v>974</v>
      </c>
      <c r="G48" s="72">
        <v>0.65</v>
      </c>
      <c r="H48" s="72">
        <f t="shared" si="1"/>
        <v>633.1</v>
      </c>
      <c r="I48" s="72">
        <v>0.5</v>
      </c>
      <c r="J48" s="72">
        <f t="shared" si="2"/>
        <v>487</v>
      </c>
      <c r="K48" s="77">
        <f t="shared" si="3"/>
        <v>1120.0999999999999</v>
      </c>
      <c r="L48" s="66"/>
      <c r="M48" s="69"/>
      <c r="N48" s="70"/>
      <c r="O48" s="70"/>
      <c r="P48" s="71"/>
      <c r="Q48" s="71"/>
      <c r="R48" s="33"/>
      <c r="S48" s="33"/>
    </row>
    <row r="49" spans="1:19" s="42" customFormat="1" x14ac:dyDescent="0.25">
      <c r="A49" s="58"/>
      <c r="B49" s="50"/>
      <c r="C49" s="51"/>
      <c r="D49" s="59"/>
      <c r="E49" s="53"/>
      <c r="F49" s="53"/>
      <c r="G49" s="3"/>
      <c r="H49" s="72"/>
      <c r="I49" s="3"/>
      <c r="J49" s="72"/>
      <c r="K49" s="77"/>
      <c r="L49" s="66"/>
      <c r="M49" s="69"/>
      <c r="N49" s="70"/>
      <c r="O49" s="70"/>
      <c r="P49" s="71"/>
      <c r="Q49" s="71"/>
      <c r="R49" s="33"/>
      <c r="S49" s="34"/>
    </row>
    <row r="50" spans="1:19" s="42" customFormat="1" ht="15.5" x14ac:dyDescent="0.25">
      <c r="A50" s="55"/>
      <c r="B50" s="95" t="s">
        <v>69</v>
      </c>
      <c r="C50" s="96"/>
      <c r="D50" s="96"/>
      <c r="E50" s="96"/>
      <c r="F50" s="96"/>
      <c r="G50" s="75"/>
      <c r="H50" s="75"/>
      <c r="I50" s="75"/>
      <c r="J50" s="75"/>
      <c r="K50" s="75"/>
      <c r="L50" s="66"/>
      <c r="M50" s="69"/>
      <c r="N50" s="70"/>
      <c r="O50" s="70"/>
      <c r="P50" s="71"/>
      <c r="Q50" s="71"/>
      <c r="R50" s="33"/>
      <c r="S50" s="34"/>
    </row>
    <row r="51" spans="1:19" s="42" customFormat="1" ht="29.25" customHeight="1" x14ac:dyDescent="0.25">
      <c r="A51" s="20">
        <v>1</v>
      </c>
      <c r="B51" s="46" t="s">
        <v>59</v>
      </c>
      <c r="C51" s="48"/>
      <c r="D51" s="45" t="s">
        <v>72</v>
      </c>
      <c r="E51" s="17" t="s">
        <v>4</v>
      </c>
      <c r="F51" s="19">
        <v>3</v>
      </c>
      <c r="G51" s="72">
        <v>598</v>
      </c>
      <c r="H51" s="72">
        <f t="shared" si="1"/>
        <v>1794</v>
      </c>
      <c r="I51" s="72">
        <v>300</v>
      </c>
      <c r="J51" s="72">
        <f t="shared" si="2"/>
        <v>900</v>
      </c>
      <c r="K51" s="77">
        <f t="shared" si="3"/>
        <v>2694</v>
      </c>
      <c r="L51" s="66"/>
      <c r="M51" s="69"/>
      <c r="N51" s="70"/>
      <c r="O51" s="70"/>
      <c r="P51" s="71"/>
      <c r="Q51" s="71"/>
      <c r="R51" s="33"/>
      <c r="S51" s="34"/>
    </row>
    <row r="52" spans="1:19" s="47" customFormat="1" x14ac:dyDescent="0.25">
      <c r="A52" s="20">
        <v>2</v>
      </c>
      <c r="B52" s="46" t="s">
        <v>34</v>
      </c>
      <c r="C52" s="60"/>
      <c r="D52" s="45" t="s">
        <v>72</v>
      </c>
      <c r="E52" s="17" t="s">
        <v>4</v>
      </c>
      <c r="F52" s="19">
        <v>24</v>
      </c>
      <c r="G52" s="72">
        <v>10.4</v>
      </c>
      <c r="H52" s="72">
        <f t="shared" si="1"/>
        <v>249.60000000000002</v>
      </c>
      <c r="I52" s="72">
        <v>5</v>
      </c>
      <c r="J52" s="72">
        <f t="shared" si="2"/>
        <v>120</v>
      </c>
      <c r="K52" s="77">
        <f t="shared" si="3"/>
        <v>369.6</v>
      </c>
      <c r="L52" s="66"/>
      <c r="M52" s="69"/>
      <c r="N52" s="70"/>
      <c r="O52" s="70"/>
      <c r="P52" s="71"/>
      <c r="Q52" s="71"/>
      <c r="R52" s="33"/>
      <c r="S52" s="33"/>
    </row>
    <row r="53" spans="1:19" s="47" customFormat="1" x14ac:dyDescent="0.25">
      <c r="A53" s="20">
        <v>3</v>
      </c>
      <c r="B53" s="46" t="s">
        <v>23</v>
      </c>
      <c r="C53" s="60"/>
      <c r="D53" s="45" t="s">
        <v>72</v>
      </c>
      <c r="E53" s="17" t="s">
        <v>4</v>
      </c>
      <c r="F53" s="19">
        <v>4</v>
      </c>
      <c r="G53" s="72">
        <v>3.5100000000000002</v>
      </c>
      <c r="H53" s="72">
        <f t="shared" si="1"/>
        <v>14.040000000000001</v>
      </c>
      <c r="I53" s="72">
        <v>5</v>
      </c>
      <c r="J53" s="72">
        <f t="shared" si="2"/>
        <v>20</v>
      </c>
      <c r="K53" s="77">
        <f t="shared" si="3"/>
        <v>34.04</v>
      </c>
      <c r="L53" s="66"/>
      <c r="M53" s="69"/>
      <c r="N53" s="70"/>
      <c r="O53" s="70"/>
      <c r="P53" s="71"/>
      <c r="Q53" s="71"/>
      <c r="R53" s="33"/>
      <c r="S53" s="33"/>
    </row>
    <row r="54" spans="1:19" s="47" customFormat="1" x14ac:dyDescent="0.25">
      <c r="A54" s="20">
        <v>4</v>
      </c>
      <c r="B54" s="21" t="s">
        <v>49</v>
      </c>
      <c r="C54" s="17"/>
      <c r="D54" s="17"/>
      <c r="E54" s="18" t="s">
        <v>4</v>
      </c>
      <c r="F54" s="19">
        <v>3</v>
      </c>
      <c r="G54" s="72">
        <v>59.800000000000004</v>
      </c>
      <c r="H54" s="72">
        <f t="shared" si="1"/>
        <v>179.4</v>
      </c>
      <c r="I54" s="72">
        <v>50</v>
      </c>
      <c r="J54" s="72">
        <f t="shared" si="2"/>
        <v>150</v>
      </c>
      <c r="K54" s="77">
        <f t="shared" si="3"/>
        <v>329.4</v>
      </c>
      <c r="L54" s="66"/>
      <c r="M54" s="69"/>
      <c r="N54" s="70"/>
      <c r="O54" s="70"/>
      <c r="P54" s="71"/>
      <c r="Q54" s="71"/>
      <c r="R54" s="33"/>
      <c r="S54" s="33"/>
    </row>
    <row r="55" spans="1:19" s="47" customFormat="1" ht="25" x14ac:dyDescent="0.25">
      <c r="A55" s="20">
        <v>5</v>
      </c>
      <c r="B55" s="46" t="s">
        <v>80</v>
      </c>
      <c r="C55" s="17"/>
      <c r="D55" s="17" t="s">
        <v>30</v>
      </c>
      <c r="E55" s="18" t="s">
        <v>4</v>
      </c>
      <c r="F55" s="19">
        <v>1</v>
      </c>
      <c r="G55" s="72">
        <v>273</v>
      </c>
      <c r="H55" s="72">
        <f t="shared" si="1"/>
        <v>273</v>
      </c>
      <c r="I55" s="72">
        <v>10</v>
      </c>
      <c r="J55" s="72">
        <f t="shared" si="2"/>
        <v>10</v>
      </c>
      <c r="K55" s="77">
        <f t="shared" si="3"/>
        <v>283</v>
      </c>
      <c r="L55" s="66"/>
      <c r="M55" s="69"/>
      <c r="N55" s="70"/>
      <c r="O55" s="70"/>
      <c r="P55" s="71"/>
      <c r="Q55" s="71"/>
      <c r="R55" s="33"/>
      <c r="S55" s="33"/>
    </row>
    <row r="56" spans="1:19" s="47" customFormat="1" ht="25" x14ac:dyDescent="0.25">
      <c r="A56" s="20">
        <v>6</v>
      </c>
      <c r="B56" s="46" t="s">
        <v>81</v>
      </c>
      <c r="C56" s="17"/>
      <c r="D56" s="17" t="s">
        <v>30</v>
      </c>
      <c r="E56" s="18" t="s">
        <v>4</v>
      </c>
      <c r="F56" s="19">
        <v>2</v>
      </c>
      <c r="G56" s="72">
        <v>273</v>
      </c>
      <c r="H56" s="72">
        <f t="shared" si="1"/>
        <v>546</v>
      </c>
      <c r="I56" s="72">
        <v>15</v>
      </c>
      <c r="J56" s="72">
        <f t="shared" si="2"/>
        <v>30</v>
      </c>
      <c r="K56" s="77">
        <f t="shared" si="3"/>
        <v>576</v>
      </c>
      <c r="L56" s="66"/>
      <c r="M56" s="69"/>
      <c r="N56" s="70"/>
      <c r="O56" s="70"/>
      <c r="P56" s="71"/>
      <c r="Q56" s="71"/>
      <c r="R56" s="33"/>
      <c r="S56" s="33"/>
    </row>
    <row r="57" spans="1:19" s="47" customFormat="1" x14ac:dyDescent="0.25">
      <c r="A57" s="20">
        <v>7</v>
      </c>
      <c r="B57" s="46" t="s">
        <v>64</v>
      </c>
      <c r="C57" s="17"/>
      <c r="D57" s="17" t="s">
        <v>30</v>
      </c>
      <c r="E57" s="18" t="s">
        <v>4</v>
      </c>
      <c r="F57" s="19">
        <v>1</v>
      </c>
      <c r="G57" s="72">
        <v>46.15</v>
      </c>
      <c r="H57" s="72">
        <f t="shared" si="1"/>
        <v>46.15</v>
      </c>
      <c r="I57" s="72">
        <v>50</v>
      </c>
      <c r="J57" s="72">
        <f t="shared" si="2"/>
        <v>50</v>
      </c>
      <c r="K57" s="77">
        <f t="shared" si="3"/>
        <v>96.15</v>
      </c>
      <c r="L57" s="66"/>
      <c r="M57" s="69"/>
      <c r="N57" s="70"/>
      <c r="O57" s="70"/>
      <c r="P57" s="71"/>
      <c r="Q57" s="71"/>
      <c r="R57" s="33"/>
      <c r="S57" s="33"/>
    </row>
    <row r="58" spans="1:19" s="47" customFormat="1" x14ac:dyDescent="0.25">
      <c r="A58" s="20">
        <v>8</v>
      </c>
      <c r="B58" s="46" t="s">
        <v>42</v>
      </c>
      <c r="C58" s="17"/>
      <c r="D58" s="17" t="s">
        <v>30</v>
      </c>
      <c r="E58" s="18" t="s">
        <v>4</v>
      </c>
      <c r="F58" s="19">
        <f>F56</f>
        <v>2</v>
      </c>
      <c r="G58" s="72">
        <v>96.33</v>
      </c>
      <c r="H58" s="72">
        <f t="shared" si="1"/>
        <v>192.66</v>
      </c>
      <c r="I58" s="72">
        <v>80</v>
      </c>
      <c r="J58" s="72">
        <f t="shared" si="2"/>
        <v>160</v>
      </c>
      <c r="K58" s="77">
        <f t="shared" si="3"/>
        <v>352.65999999999997</v>
      </c>
      <c r="L58" s="66"/>
      <c r="M58" s="69"/>
      <c r="N58" s="70"/>
      <c r="O58" s="70"/>
      <c r="P58" s="71"/>
      <c r="Q58" s="71"/>
      <c r="R58" s="33"/>
      <c r="S58" s="33"/>
    </row>
    <row r="59" spans="1:19" s="47" customFormat="1" x14ac:dyDescent="0.25">
      <c r="A59" s="20">
        <v>9</v>
      </c>
      <c r="B59" s="46" t="s">
        <v>38</v>
      </c>
      <c r="C59" s="60"/>
      <c r="D59" s="17" t="s">
        <v>30</v>
      </c>
      <c r="E59" s="17" t="s">
        <v>5</v>
      </c>
      <c r="F59" s="19">
        <v>1068</v>
      </c>
      <c r="G59" s="72">
        <v>0.65</v>
      </c>
      <c r="H59" s="72">
        <f t="shared" si="1"/>
        <v>694.2</v>
      </c>
      <c r="I59" s="72">
        <v>0.5</v>
      </c>
      <c r="J59" s="72">
        <f t="shared" si="2"/>
        <v>534</v>
      </c>
      <c r="K59" s="77">
        <f t="shared" si="3"/>
        <v>1228.2</v>
      </c>
      <c r="L59" s="66"/>
      <c r="M59" s="69"/>
      <c r="N59" s="70"/>
      <c r="O59" s="70"/>
      <c r="P59" s="71"/>
      <c r="Q59" s="71"/>
      <c r="R59" s="33"/>
      <c r="S59" s="33"/>
    </row>
    <row r="60" spans="1:19" s="47" customFormat="1" x14ac:dyDescent="0.25">
      <c r="A60" s="20">
        <v>10</v>
      </c>
      <c r="B60" s="46" t="s">
        <v>65</v>
      </c>
      <c r="C60" s="60"/>
      <c r="D60" s="17" t="s">
        <v>30</v>
      </c>
      <c r="E60" s="17" t="s">
        <v>5</v>
      </c>
      <c r="F60" s="19">
        <v>138</v>
      </c>
      <c r="G60" s="72">
        <v>0.52</v>
      </c>
      <c r="H60" s="72">
        <f t="shared" si="1"/>
        <v>71.760000000000005</v>
      </c>
      <c r="I60" s="72">
        <v>0.5</v>
      </c>
      <c r="J60" s="72">
        <f t="shared" si="2"/>
        <v>69</v>
      </c>
      <c r="K60" s="77">
        <f t="shared" si="3"/>
        <v>140.76</v>
      </c>
      <c r="L60" s="66"/>
      <c r="M60" s="69"/>
      <c r="N60" s="70"/>
      <c r="O60" s="70"/>
      <c r="P60" s="71"/>
      <c r="Q60" s="71"/>
      <c r="R60" s="33"/>
      <c r="S60" s="33"/>
    </row>
    <row r="61" spans="1:19" s="47" customFormat="1" x14ac:dyDescent="0.25">
      <c r="A61" s="20">
        <v>11</v>
      </c>
      <c r="B61" s="46" t="s">
        <v>66</v>
      </c>
      <c r="C61" s="60"/>
      <c r="D61" s="17" t="s">
        <v>30</v>
      </c>
      <c r="E61" s="17" t="s">
        <v>4</v>
      </c>
      <c r="F61" s="19">
        <v>1</v>
      </c>
      <c r="G61" s="72">
        <v>19.5</v>
      </c>
      <c r="H61" s="72">
        <f t="shared" si="1"/>
        <v>19.5</v>
      </c>
      <c r="I61" s="72">
        <v>7</v>
      </c>
      <c r="J61" s="72">
        <f t="shared" si="2"/>
        <v>7</v>
      </c>
      <c r="K61" s="77">
        <f t="shared" si="3"/>
        <v>26.5</v>
      </c>
      <c r="L61" s="66"/>
      <c r="M61" s="69"/>
      <c r="N61" s="70"/>
      <c r="O61" s="70"/>
      <c r="P61" s="71"/>
      <c r="Q61" s="71"/>
      <c r="R61" s="33"/>
      <c r="S61" s="33"/>
    </row>
    <row r="62" spans="1:19" s="47" customFormat="1" x14ac:dyDescent="0.25">
      <c r="A62" s="20">
        <v>12</v>
      </c>
      <c r="B62" s="46" t="s">
        <v>61</v>
      </c>
      <c r="C62" s="60"/>
      <c r="D62" s="17" t="s">
        <v>30</v>
      </c>
      <c r="E62" s="17" t="s">
        <v>5</v>
      </c>
      <c r="F62" s="19">
        <v>218</v>
      </c>
      <c r="G62" s="72">
        <v>0.26</v>
      </c>
      <c r="H62" s="72">
        <f t="shared" si="1"/>
        <v>56.68</v>
      </c>
      <c r="I62" s="72">
        <v>0.6</v>
      </c>
      <c r="J62" s="72">
        <f t="shared" si="2"/>
        <v>130.79999999999998</v>
      </c>
      <c r="K62" s="77">
        <f t="shared" si="3"/>
        <v>187.48</v>
      </c>
      <c r="L62" s="66"/>
      <c r="M62" s="69"/>
      <c r="N62" s="70"/>
      <c r="O62" s="70"/>
      <c r="P62" s="71"/>
      <c r="Q62" s="71"/>
      <c r="R62" s="33"/>
      <c r="S62" s="33"/>
    </row>
    <row r="63" spans="1:19" s="47" customFormat="1" x14ac:dyDescent="0.25">
      <c r="A63" s="20">
        <v>13</v>
      </c>
      <c r="B63" s="46" t="s">
        <v>24</v>
      </c>
      <c r="C63" s="60"/>
      <c r="D63" s="17" t="s">
        <v>30</v>
      </c>
      <c r="E63" s="17" t="s">
        <v>31</v>
      </c>
      <c r="F63" s="19">
        <v>1</v>
      </c>
      <c r="G63" s="72">
        <v>585</v>
      </c>
      <c r="H63" s="72">
        <f t="shared" si="1"/>
        <v>585</v>
      </c>
      <c r="I63" s="72">
        <v>196.875</v>
      </c>
      <c r="J63" s="72">
        <f t="shared" si="2"/>
        <v>196.875</v>
      </c>
      <c r="K63" s="77">
        <f t="shared" si="3"/>
        <v>781.875</v>
      </c>
      <c r="L63" s="66"/>
      <c r="M63" s="69"/>
      <c r="N63" s="70"/>
      <c r="O63" s="70"/>
      <c r="P63" s="71"/>
      <c r="Q63" s="71"/>
      <c r="R63" s="33"/>
      <c r="S63" s="33"/>
    </row>
    <row r="64" spans="1:19" s="47" customFormat="1" x14ac:dyDescent="0.25">
      <c r="A64" s="20">
        <v>14</v>
      </c>
      <c r="B64" s="46" t="s">
        <v>26</v>
      </c>
      <c r="C64" s="60"/>
      <c r="D64" s="45" t="s">
        <v>27</v>
      </c>
      <c r="E64" s="17" t="s">
        <v>5</v>
      </c>
      <c r="F64" s="19">
        <f>(F59+F60)/2+F62</f>
        <v>821</v>
      </c>
      <c r="G64" s="72">
        <v>0.65</v>
      </c>
      <c r="H64" s="72">
        <f t="shared" si="1"/>
        <v>533.65</v>
      </c>
      <c r="I64" s="72">
        <v>0.5</v>
      </c>
      <c r="J64" s="72">
        <f t="shared" si="2"/>
        <v>410.5</v>
      </c>
      <c r="K64" s="77">
        <f t="shared" si="3"/>
        <v>944.15</v>
      </c>
      <c r="L64" s="66"/>
      <c r="M64" s="69"/>
      <c r="N64" s="70"/>
      <c r="O64" s="70"/>
      <c r="P64" s="71"/>
      <c r="Q64" s="71"/>
      <c r="R64" s="33"/>
      <c r="S64" s="33"/>
    </row>
    <row r="65" spans="1:19" s="47" customFormat="1" x14ac:dyDescent="0.25">
      <c r="A65" s="20">
        <v>15</v>
      </c>
      <c r="B65" s="46" t="s">
        <v>51</v>
      </c>
      <c r="C65" s="61"/>
      <c r="D65" s="45" t="s">
        <v>39</v>
      </c>
      <c r="E65" s="17" t="s">
        <v>4</v>
      </c>
      <c r="F65" s="53">
        <v>0</v>
      </c>
      <c r="G65" s="72">
        <v>0</v>
      </c>
      <c r="H65" s="72">
        <f t="shared" si="1"/>
        <v>0</v>
      </c>
      <c r="I65" s="72">
        <v>0</v>
      </c>
      <c r="J65" s="72">
        <f t="shared" si="2"/>
        <v>0</v>
      </c>
      <c r="K65" s="77">
        <f t="shared" si="3"/>
        <v>0</v>
      </c>
      <c r="L65" s="66"/>
      <c r="M65" s="69"/>
      <c r="N65" s="70"/>
      <c r="O65" s="70"/>
      <c r="P65" s="71"/>
      <c r="Q65" s="71"/>
      <c r="R65" s="33"/>
      <c r="S65" s="33"/>
    </row>
    <row r="66" spans="1:19" s="47" customFormat="1" x14ac:dyDescent="0.25">
      <c r="A66" s="20">
        <v>16</v>
      </c>
      <c r="B66" s="46" t="s">
        <v>54</v>
      </c>
      <c r="C66" s="61"/>
      <c r="D66" s="45" t="s">
        <v>39</v>
      </c>
      <c r="E66" s="17" t="s">
        <v>4</v>
      </c>
      <c r="F66" s="53">
        <v>0</v>
      </c>
      <c r="G66" s="72">
        <v>0</v>
      </c>
      <c r="H66" s="72">
        <f t="shared" si="1"/>
        <v>0</v>
      </c>
      <c r="I66" s="72">
        <v>0</v>
      </c>
      <c r="J66" s="72">
        <f t="shared" si="2"/>
        <v>0</v>
      </c>
      <c r="K66" s="77">
        <f t="shared" si="3"/>
        <v>0</v>
      </c>
      <c r="L66" s="66"/>
      <c r="M66" s="69"/>
      <c r="N66" s="70"/>
      <c r="O66" s="70"/>
      <c r="P66" s="71"/>
      <c r="Q66" s="71"/>
      <c r="R66" s="33"/>
      <c r="S66" s="33"/>
    </row>
    <row r="67" spans="1:19" s="47" customFormat="1" x14ac:dyDescent="0.25">
      <c r="A67" s="20">
        <v>17</v>
      </c>
      <c r="B67" s="46" t="s">
        <v>37</v>
      </c>
      <c r="C67" s="61"/>
      <c r="D67" s="45" t="s">
        <v>39</v>
      </c>
      <c r="E67" s="17" t="s">
        <v>4</v>
      </c>
      <c r="F67" s="53">
        <v>3</v>
      </c>
      <c r="G67" s="72">
        <v>910</v>
      </c>
      <c r="H67" s="72">
        <f t="shared" si="1"/>
        <v>2730</v>
      </c>
      <c r="I67" s="72">
        <v>200</v>
      </c>
      <c r="J67" s="72">
        <f t="shared" si="2"/>
        <v>600</v>
      </c>
      <c r="K67" s="77">
        <f t="shared" si="3"/>
        <v>3330</v>
      </c>
      <c r="L67" s="66"/>
      <c r="M67" s="69"/>
      <c r="N67" s="70"/>
      <c r="O67" s="70"/>
      <c r="P67" s="71"/>
      <c r="Q67" s="71"/>
      <c r="R67" s="33"/>
      <c r="S67" s="33"/>
    </row>
    <row r="68" spans="1:19" s="47" customFormat="1" ht="25" x14ac:dyDescent="0.25">
      <c r="A68" s="20">
        <v>18</v>
      </c>
      <c r="B68" s="22" t="s">
        <v>40</v>
      </c>
      <c r="C68" s="61"/>
      <c r="D68" s="18" t="s">
        <v>28</v>
      </c>
      <c r="E68" s="17" t="s">
        <v>5</v>
      </c>
      <c r="F68" s="53">
        <v>31</v>
      </c>
      <c r="G68" s="72">
        <v>7.8000000000000007</v>
      </c>
      <c r="H68" s="72">
        <f t="shared" si="1"/>
        <v>241.8</v>
      </c>
      <c r="I68" s="72">
        <v>5</v>
      </c>
      <c r="J68" s="72">
        <f t="shared" si="2"/>
        <v>155</v>
      </c>
      <c r="K68" s="77">
        <f t="shared" si="3"/>
        <v>396.8</v>
      </c>
      <c r="L68" s="66"/>
      <c r="M68" s="69"/>
      <c r="N68" s="70"/>
      <c r="O68" s="70"/>
      <c r="P68" s="71"/>
      <c r="Q68" s="71"/>
      <c r="R68" s="33"/>
      <c r="S68" s="33"/>
    </row>
    <row r="69" spans="1:19" s="47" customFormat="1" ht="25" x14ac:dyDescent="0.25">
      <c r="A69" s="20">
        <v>19</v>
      </c>
      <c r="B69" s="22" t="s">
        <v>60</v>
      </c>
      <c r="C69" s="61"/>
      <c r="D69" s="18" t="s">
        <v>28</v>
      </c>
      <c r="E69" s="17" t="s">
        <v>5</v>
      </c>
      <c r="F69" s="53">
        <f>66+10+9+6</f>
        <v>91</v>
      </c>
      <c r="G69" s="72">
        <v>9.1</v>
      </c>
      <c r="H69" s="72">
        <f t="shared" si="1"/>
        <v>828.1</v>
      </c>
      <c r="I69" s="72">
        <v>6</v>
      </c>
      <c r="J69" s="72">
        <f t="shared" si="2"/>
        <v>546</v>
      </c>
      <c r="K69" s="77">
        <f t="shared" si="3"/>
        <v>1374.1</v>
      </c>
      <c r="L69" s="66"/>
      <c r="M69" s="69"/>
      <c r="N69" s="70"/>
      <c r="O69" s="70"/>
      <c r="P69" s="71"/>
      <c r="Q69" s="71"/>
      <c r="R69" s="33"/>
      <c r="S69" s="33"/>
    </row>
    <row r="70" spans="1:19" s="47" customFormat="1" ht="25.5" thickBot="1" x14ac:dyDescent="0.3">
      <c r="A70" s="20">
        <v>20</v>
      </c>
      <c r="B70" s="22" t="s">
        <v>55</v>
      </c>
      <c r="C70" s="61"/>
      <c r="D70" s="18" t="s">
        <v>28</v>
      </c>
      <c r="E70" s="17" t="s">
        <v>5</v>
      </c>
      <c r="F70" s="53">
        <v>9</v>
      </c>
      <c r="G70" s="72">
        <v>10.4</v>
      </c>
      <c r="H70" s="72">
        <f t="shared" si="1"/>
        <v>93.600000000000009</v>
      </c>
      <c r="I70" s="72">
        <v>7.5</v>
      </c>
      <c r="J70" s="78">
        <f t="shared" si="2"/>
        <v>67.5</v>
      </c>
      <c r="K70" s="84">
        <f t="shared" si="3"/>
        <v>161.10000000000002</v>
      </c>
      <c r="L70" s="66"/>
      <c r="M70" s="69"/>
      <c r="N70" s="70"/>
      <c r="O70" s="70"/>
      <c r="P70" s="71"/>
      <c r="Q70" s="71"/>
      <c r="R70" s="33"/>
      <c r="S70" s="33"/>
    </row>
    <row r="71" spans="1:19" s="47" customFormat="1" ht="13" thickBot="1" x14ac:dyDescent="0.3">
      <c r="A71" s="58"/>
      <c r="B71" s="50"/>
      <c r="C71" s="51"/>
      <c r="D71" s="59"/>
      <c r="E71" s="53"/>
      <c r="F71" s="53"/>
      <c r="G71" s="3"/>
      <c r="H71" s="3"/>
      <c r="I71" s="3"/>
      <c r="J71" s="87" t="s">
        <v>79</v>
      </c>
      <c r="K71" s="88">
        <f>SUM(K13:K70)</f>
        <v>112173.735</v>
      </c>
      <c r="L71" s="66"/>
      <c r="M71" s="69"/>
      <c r="N71" s="70"/>
      <c r="O71" s="70"/>
      <c r="P71" s="71"/>
      <c r="Q71" s="71"/>
      <c r="R71" s="33"/>
      <c r="S71" s="33"/>
    </row>
    <row r="72" spans="1:19" s="42" customFormat="1" x14ac:dyDescent="0.25">
      <c r="A72" s="25" t="s">
        <v>11</v>
      </c>
      <c r="B72" s="26"/>
      <c r="C72" s="27"/>
      <c r="D72" s="27"/>
      <c r="E72" s="27"/>
      <c r="F72" s="27"/>
      <c r="G72" s="54"/>
      <c r="H72" s="54"/>
      <c r="I72" s="54"/>
      <c r="J72" s="54"/>
      <c r="K72" s="34"/>
      <c r="L72" s="64"/>
      <c r="M72" s="64"/>
      <c r="N72" s="65"/>
      <c r="O72" s="65"/>
      <c r="P72" s="63"/>
      <c r="Q72" s="63"/>
      <c r="R72" s="34"/>
      <c r="S72" s="34"/>
    </row>
    <row r="73" spans="1:19" s="42" customFormat="1" ht="20.25" customHeight="1" x14ac:dyDescent="0.25">
      <c r="A73" s="90" t="s">
        <v>19</v>
      </c>
      <c r="B73" s="90"/>
      <c r="C73" s="90"/>
      <c r="D73" s="90"/>
      <c r="E73" s="90"/>
      <c r="F73" s="90"/>
      <c r="G73" s="54"/>
      <c r="H73" s="54"/>
      <c r="I73" s="54"/>
      <c r="J73" s="54"/>
      <c r="K73" s="34"/>
      <c r="L73" s="64"/>
      <c r="M73" s="64"/>
      <c r="N73" s="65"/>
      <c r="O73" s="65"/>
      <c r="P73" s="63"/>
      <c r="Q73" s="63"/>
      <c r="R73" s="34"/>
      <c r="S73" s="34"/>
    </row>
    <row r="74" spans="1:19" s="42" customFormat="1" ht="21.75" customHeight="1" x14ac:dyDescent="0.25">
      <c r="A74" s="90"/>
      <c r="B74" s="90"/>
      <c r="C74" s="90"/>
      <c r="D74" s="90"/>
      <c r="E74" s="90"/>
      <c r="F74" s="90"/>
      <c r="G74" s="54"/>
      <c r="H74" s="54"/>
      <c r="I74" s="54"/>
      <c r="J74" s="54"/>
      <c r="K74" s="34"/>
      <c r="L74" s="64"/>
      <c r="M74" s="64"/>
      <c r="N74" s="65"/>
      <c r="O74" s="65"/>
      <c r="P74" s="63"/>
      <c r="Q74" s="63"/>
      <c r="R74" s="34"/>
      <c r="S74" s="34"/>
    </row>
    <row r="75" spans="1:19" s="42" customFormat="1" ht="13.5" customHeight="1" x14ac:dyDescent="0.25">
      <c r="A75" s="28"/>
      <c r="B75" s="28"/>
      <c r="C75" s="28"/>
      <c r="D75" s="28"/>
      <c r="E75" s="28"/>
      <c r="F75" s="30" t="s">
        <v>12</v>
      </c>
      <c r="G75" s="54"/>
      <c r="H75" s="54"/>
      <c r="I75" s="54"/>
      <c r="J75" s="54"/>
      <c r="K75" s="34"/>
      <c r="L75" s="64"/>
      <c r="M75" s="64"/>
      <c r="N75" s="65"/>
      <c r="O75" s="65"/>
      <c r="P75" s="63"/>
      <c r="Q75" s="63"/>
      <c r="R75" s="34"/>
      <c r="S75" s="34"/>
    </row>
    <row r="76" spans="1:19" s="42" customFormat="1" ht="16.5" customHeight="1" x14ac:dyDescent="0.25">
      <c r="A76" s="23"/>
      <c r="B76" s="29"/>
      <c r="C76" s="24"/>
      <c r="D76" s="62"/>
      <c r="F76" s="30" t="s">
        <v>13</v>
      </c>
      <c r="G76" s="54"/>
      <c r="H76" s="54"/>
      <c r="I76" s="54"/>
      <c r="J76" s="54"/>
      <c r="K76" s="34"/>
      <c r="L76" s="64"/>
      <c r="M76" s="64"/>
      <c r="N76" s="65"/>
      <c r="O76" s="65"/>
      <c r="P76" s="63"/>
      <c r="Q76" s="63"/>
      <c r="R76" s="34"/>
      <c r="S76" s="34"/>
    </row>
  </sheetData>
  <sheetProtection formatCells="0" formatColumns="0" formatRows="0" selectLockedCells="1"/>
  <mergeCells count="9">
    <mergeCell ref="G8:K8"/>
    <mergeCell ref="G9:K9"/>
    <mergeCell ref="A9:F9"/>
    <mergeCell ref="A8:F8"/>
    <mergeCell ref="A73:F74"/>
    <mergeCell ref="B11:F11"/>
    <mergeCell ref="B12:F12"/>
    <mergeCell ref="B35:F35"/>
    <mergeCell ref="B50:F50"/>
  </mergeCells>
  <conditionalFormatting sqref="A13:A34 A36:A48 A51:A70">
    <cfRule type="cellIs" dxfId="1" priority="2" stopIfTrue="1" operator="equal">
      <formula>#REF!</formula>
    </cfRule>
  </conditionalFormatting>
  <conditionalFormatting sqref="A72">
    <cfRule type="cellIs" dxfId="0" priority="1" stopIfTrue="1" operator="equal">
      <formula>#REF!</formula>
    </cfRule>
  </conditionalFormatting>
  <pageMargins left="0.28999999999999998" right="0.25" top="1.2204724409448819" bottom="0.31496062992125984" header="0.31496062992125984" footer="0.23622047244094491"/>
  <pageSetup paperSize="9" scale="63" orientation="portrait" r:id="rId1"/>
  <headerFooter alignWithMargins="0">
    <oddHeader>&amp;C&amp;G</oddHeader>
    <oddFooter>&amp;RPage &amp;P / &amp;N</oddFooter>
  </headerFooter>
  <rowBreaks count="1" manualBreakCount="1">
    <brk id="49" max="14" man="1"/>
  </rowBreaks>
  <ignoredErrors>
    <ignoredError sqref="H14:K33 H36:K48 H51:K70 H71:I71 K71 H13 J13:K13" unlocked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Curenti slabi sala spectacole</vt:lpstr>
      <vt:lpstr>'Curenti slabi sala spectacole'!Print_Area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Sornic</dc:creator>
  <cp:lastModifiedBy>Andrei-Iulian GHIȚĂ (133211)</cp:lastModifiedBy>
  <cp:lastPrinted>2021-09-01T11:39:48Z</cp:lastPrinted>
  <dcterms:created xsi:type="dcterms:W3CDTF">2008-04-27T12:08:44Z</dcterms:created>
  <dcterms:modified xsi:type="dcterms:W3CDTF">2026-09-18T12:11:50Z</dcterms:modified>
</cp:coreProperties>
</file>
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ghita\Downloads\"/>
    </mc:Choice>
  </mc:AlternateContent>
  <xr:revisionPtr revIDLastSave="0" documentId="13_ncr:1_{3C6D048B-424A-420E-BEDC-40881F3A62F6}" xr6:coauthVersionLast="47" xr6:coauthVersionMax="47" xr10:uidLastSave="{00000000-0000-0000-0000-000000000000}"/>
  <bookViews>
    <workbookView xWindow="38280" yWindow="-120" windowWidth="29040" windowHeight="15720" xr2:uid="{347FC94B-59D3-4846-AA25-4499688B63E0}"/>
  </bookViews>
  <sheets>
    <sheet name="F3" sheetId="1" r:id="rId1"/>
    <sheet name="F4" sheetId="2" r:id="rId2"/>
  </sheets>
  <definedNames>
    <definedName name="_xlnm.Print_Area" localSheetId="0">'F3'!$A$1:$I$40</definedName>
    <definedName name="_xlnm.Print_Area" localSheetId="1">'F4'!$A$1:$I$48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2" l="1"/>
  <c r="G44" i="2" l="1"/>
  <c r="H44" i="2" s="1"/>
  <c r="G42" i="2"/>
  <c r="H42" i="2" s="1"/>
  <c r="G36" i="2"/>
  <c r="H36" i="2" s="1"/>
  <c r="H25" i="2"/>
  <c r="G40" i="2"/>
  <c r="H40" i="2" s="1"/>
  <c r="G35" i="2"/>
  <c r="H35" i="2" s="1"/>
  <c r="G43" i="2"/>
  <c r="H43" i="2" s="1"/>
  <c r="G31" i="2"/>
  <c r="H31" i="2" s="1"/>
  <c r="G28" i="2"/>
  <c r="H28" i="2" s="1"/>
  <c r="G45" i="2"/>
  <c r="H45" i="2" s="1"/>
  <c r="G41" i="2"/>
  <c r="H41" i="2" s="1"/>
  <c r="G34" i="2"/>
  <c r="H34" i="2" s="1"/>
  <c r="G39" i="2"/>
  <c r="H39" i="2" s="1"/>
  <c r="G29" i="2"/>
  <c r="H29" i="2" s="1"/>
  <c r="G26" i="2"/>
  <c r="H26" i="2" s="1"/>
  <c r="G30" i="2"/>
  <c r="H30" i="2" s="1"/>
  <c r="G38" i="2"/>
  <c r="H38" i="2" s="1"/>
  <c r="G27" i="2"/>
  <c r="H27" i="2" s="1"/>
  <c r="G33" i="2"/>
  <c r="H33" i="2" s="1"/>
  <c r="H46" i="2" l="1"/>
  <c r="E13" i="1"/>
  <c r="H38" i="1" l="1"/>
</calcChain>
</file>

<file path=xl/sharedStrings.xml><?xml version="1.0" encoding="utf-8"?>
<sst xmlns="http://schemas.openxmlformats.org/spreadsheetml/2006/main" count="117" uniqueCount="67">
  <si>
    <t>FORMULARUL   F3</t>
  </si>
  <si>
    <t>Beneficiar:</t>
  </si>
  <si>
    <t>OBIECTIV:</t>
  </si>
  <si>
    <t>Denumire proiect:</t>
  </si>
  <si>
    <t>Specialitate:</t>
  </si>
  <si>
    <t>Proiectant de specialitate:</t>
  </si>
  <si>
    <t>LISTA</t>
  </si>
  <si>
    <t>CU CANTITATI DE UTILAJE SI ECHIPAMENTE TEHNOLOGICE, INCLUSIV DOTARI SI ACTIVE NECORPORALE</t>
  </si>
  <si>
    <r>
      <rPr>
        <sz val="10"/>
        <color rgb="FF000000"/>
        <rFont val="Arial Narrow"/>
        <family val="2"/>
      </rPr>
      <t>CATEGORIA DE LUCRARI:</t>
    </r>
    <r>
      <rPr>
        <b/>
        <sz val="10"/>
        <color rgb="FF000000"/>
        <rFont val="Arial Narrow"/>
        <family val="2"/>
      </rPr>
      <t xml:space="preserve"> DOTARI SI ECHIPAMENTE - CURENTI TARI BMS/DALI</t>
    </r>
  </si>
  <si>
    <t>LISTA CU CANTITATI DE LUCRARI BMS</t>
  </si>
  <si>
    <t>Nr. Crt</t>
  </si>
  <si>
    <t>Denumire material</t>
  </si>
  <si>
    <t>U.M.</t>
  </si>
  <si>
    <t>Cant.</t>
  </si>
  <si>
    <t>PU mat</t>
  </si>
  <si>
    <t>PU man</t>
  </si>
  <si>
    <t>PU</t>
  </si>
  <si>
    <t>TOTAL
- EURO -</t>
  </si>
  <si>
    <t>ml</t>
  </si>
  <si>
    <t>buc</t>
  </si>
  <si>
    <t>Cleme de fixare grip montate din 0.8 in 0.8m</t>
  </si>
  <si>
    <t>ans</t>
  </si>
  <si>
    <t>LUCRARI STRAPUNGERE</t>
  </si>
  <si>
    <t>LUCRARI MATARE</t>
  </si>
  <si>
    <t>FORMULARUL   F4</t>
  </si>
  <si>
    <t xml:space="preserve">Programare sistem de iluminat </t>
  </si>
  <si>
    <t>Programare sistem de control temperatura</t>
  </si>
  <si>
    <t>Automatizare</t>
  </si>
  <si>
    <t>Programare interfete sistem BMS</t>
  </si>
  <si>
    <t>Licenta server</t>
  </si>
  <si>
    <t>Conexiuni electrice &lt;2,5mmp</t>
  </si>
  <si>
    <t>Elemente de camp</t>
  </si>
  <si>
    <t>Programare + licente</t>
  </si>
  <si>
    <t>Total Euro fara TVA</t>
  </si>
  <si>
    <t>Programare echipamente (generator, UPS, CTA1, CTA 2, etc)</t>
  </si>
  <si>
    <t>Manual de utilizare si instructaj</t>
  </si>
  <si>
    <t>Server BMS</t>
  </si>
  <si>
    <t xml:space="preserve">Workstation (Pc i5, 16Gb Ram, SSD 500Gb, Monitor 27", periferice) </t>
  </si>
  <si>
    <t>Licente 3 utilizatori</t>
  </si>
  <si>
    <t>Doza de legatura</t>
  </si>
  <si>
    <t>ENGINEERING INSTALATION SYSTEMS</t>
  </si>
  <si>
    <t>INSTALATII ELECTRICE - CURENTI BMS/DALI</t>
  </si>
  <si>
    <t xml:space="preserve"> Construire Școală Verde - Nivel Gimnazial, Comuna Hărman, județul Brașov, (bransamente utilitati, imprejmuire teren, organizare de santier)</t>
  </si>
  <si>
    <t>TOTAL</t>
  </si>
  <si>
    <t>Senzor de temperatura montaj in teaca inclusa</t>
  </si>
  <si>
    <t>S</t>
  </si>
  <si>
    <t>Statie meteo comunicatie KNX cu senzor temperatura + iluminat inclus</t>
  </si>
  <si>
    <t>Senzor de presiune 0-10bar, 4-20mA</t>
  </si>
  <si>
    <t>Senzori de miscare si constant lighting comunicatie KNX, montaj ingropat tavan</t>
  </si>
  <si>
    <t>Tastatura control iluminat comunicatie KNX, montaj pe perete cu accesorii incluse inclusiv rama decorativa</t>
  </si>
  <si>
    <t>Termostat de camera cu comunicatie KNX</t>
  </si>
  <si>
    <t>Mediaconvertor</t>
  </si>
  <si>
    <t>Tablou BMS G (complet echipat conform schema functionala)</t>
  </si>
  <si>
    <t>Tablou BMS CT (complet echipat cu AS Server, PLC cu minim 25AI, 40DI, 16DO,4AO, surse, protectie aferente, Gateway VRF - BacNET, switch 16 porturi RJ45)</t>
  </si>
  <si>
    <t>2,7</t>
  </si>
  <si>
    <t xml:space="preserve">Programare tablouri electrice </t>
  </si>
  <si>
    <t>Cablu LIHCH 5x0.75mmp</t>
  </si>
  <si>
    <t>Cablu LiHCH 3x0.75mmp</t>
  </si>
  <si>
    <t>Cablu FTP Cat 6</t>
  </si>
  <si>
    <t>Cablu fibra optica single mode 4 fire</t>
  </si>
  <si>
    <t>Cablu LIHCH 2x1.5mmp</t>
  </si>
  <si>
    <t>Cablu comunicatie JYSTY 2x2x0.8</t>
  </si>
  <si>
    <t>Doze echipamernte- tastatura KNX, termostat</t>
  </si>
  <si>
    <t xml:space="preserve">TEAVA 16MM, COTURI PVC, LSZH INCLUSIV ACCESORII MONTAJ </t>
  </si>
  <si>
    <t>LUCRARI DE SLITUIRE A PERETILOR</t>
  </si>
  <si>
    <t>Nota 1: Traseele cablurilor sunt comune cu traseele cablurilor de curenti slabi.</t>
  </si>
  <si>
    <t>Oferta nr.
2416
Din data
26.08.2026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</si>
</sst>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&quot; &quot;* #,##0.00&quot; &quot;;&quot; &quot;* &quot;(&quot;#,##0.00&quot;)&quot;;&quot; &quot;* &quot;-&quot;#&quot; &quot;;&quot; &quot;@&quot; &quot;"/>
    <numFmt numFmtId="165" formatCode="_-* #,##0.00_-;\-* #,##0.00_-;_-* &quot;-&quot;??_-;_-@_-"/>
    <numFmt numFmtId="166" formatCode="_-* #,##0.00\ _l_e_i_-;\-* #,##0.00\ _l_e_i_-;_-* &quot;-&quot;??\ _l_e_i_-;_-@_-"/>
    <numFmt numFmtId="167" formatCode="_(* #,##0.0_);_(* \(#,##0.00\);_(* &quot;-&quot;??_);_(@_)"/>
    <numFmt numFmtId="168" formatCode="General_)"/>
    <numFmt numFmtId="169" formatCode="0.000"/>
    <numFmt numFmtId="170" formatCode="&quot;fl&quot;#,##0_);\(&quot;fl&quot;#,##0\)"/>
    <numFmt numFmtId="171" formatCode="&quot;fl&quot;#,##0_);[Red]\(&quot;fl&quot;#,##0\)"/>
    <numFmt numFmtId="172" formatCode="&quot;fl&quot;#,##0.00_);\(&quot;fl&quot;#,##0.00\)"/>
    <numFmt numFmtId="173" formatCode="_-* #,##0\ _Y_T_L_-;\-* #,##0\ _Y_T_L_-;_-* &quot;-&quot;\ _Y_T_L_-;_-@_-"/>
    <numFmt numFmtId="174" formatCode="\$#,##0\ ;\(\$#,##0\)"/>
    <numFmt numFmtId="175" formatCode="_-* #,##0\ _D_M_-;\-* #,##0\ _D_M_-;_-* &quot;-&quot;\ _D_M_-;_-@_-"/>
    <numFmt numFmtId="176" formatCode="_-* #,##0.00\ _D_M_-;\-* #,##0.00\ _D_M_-;_-* &quot;-&quot;??\ _D_M_-;_-@_-"/>
    <numFmt numFmtId="177" formatCode="_-* #,##0.00\ [$€]_-;\-* #,##0.00\ [$€]_-;_-* &quot;-&quot;??\ [$€]_-;_-@_-"/>
    <numFmt numFmtId="178" formatCode="_-* #,##0\ _p_t_a_-;\-* #,##0\ _p_t_a_-;_-* &quot;-&quot;\ _p_t_a_-;_-@_-"/>
    <numFmt numFmtId="179" formatCode="_-* #,##0.00\ _p_t_a_-;\-* #,##0.00\ _p_t_a_-;_-* &quot;-&quot;??\ _p_t_a_-;_-@_-"/>
    <numFmt numFmtId="180" formatCode="_-* #,##0\ &quot;pta&quot;_-;\-* #,##0\ &quot;pta&quot;_-;_-* &quot;-&quot;\ &quot;pta&quot;_-;_-@_-"/>
    <numFmt numFmtId="181" formatCode="_-* #,##0.00\ &quot;pta&quot;_-;\-* #,##0.00\ &quot;pta&quot;_-;_-* &quot;-&quot;??\ &quot;pta&quot;_-;_-@_-"/>
    <numFmt numFmtId="182" formatCode="\60\4\7\:"/>
    <numFmt numFmtId="183" formatCode="&quot;fl&quot;#,##0.00_);[Red]\(&quot;fl&quot;#,##0.00\)"/>
    <numFmt numFmtId="184" formatCode="_(&quot;fl&quot;* #,##0_);_(&quot;fl&quot;* \(#,##0\);_(&quot;fl&quot;* &quot;-&quot;_);_(@_)"/>
    <numFmt numFmtId="185" formatCode="_-* #,##0\ _T_L_-;\-* #,##0\ _T_L_-;_-* &quot;-&quot;\ _T_L_-;_-@_-"/>
    <numFmt numFmtId="186" formatCode="_-* #,##0.00\ _T_L_-;\-* #,##0.00\ _T_L_-;_-* &quot;-&quot;??\ _T_L_-;_-@_-"/>
    <numFmt numFmtId="187" formatCode="&quot;Da&quot;;&quot;Da&quot;;&quot;Nu&quot;"/>
    <numFmt numFmtId="188" formatCode="_-&quot;$&quot;\ * #,##0_-;\-&quot;$&quot;\ * #,##0_-;_-&quot;$&quot;\ * &quot;-&quot;_-;_-@_-"/>
    <numFmt numFmtId="189" formatCode="_-&quot;$&quot;\ * #,##0.00_-;\-&quot;$&quot;\ * #,##0.00_-;_-&quot;$&quot;\ * &quot;-&quot;??_-;_-@_-"/>
  </numFmts>
  <fonts count="54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9"/>
      <color rgb="FF000000"/>
      <name val="Arial Narrow"/>
      <family val="2"/>
    </font>
    <font>
      <b/>
      <sz val="10"/>
      <color rgb="FF000000"/>
      <name val="Arial"/>
      <family val="2"/>
    </font>
    <font>
      <b/>
      <sz val="11"/>
      <color rgb="FF000000"/>
      <name val="Arial Narrow"/>
      <family val="2"/>
    </font>
    <font>
      <sz val="10"/>
      <color theme="1"/>
      <name val="Arial"/>
      <family val="2"/>
      <charset val="238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name val="Arial"/>
      <family val="2"/>
    </font>
    <font>
      <sz val="11"/>
      <color indexed="8"/>
      <name val="Arial"/>
      <family val="2"/>
      <charset val="238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sz val="9"/>
      <name val="Times New Roman"/>
      <family val="1"/>
    </font>
    <font>
      <b/>
      <sz val="11"/>
      <color indexed="63"/>
      <name val="Calibri"/>
      <family val="2"/>
      <charset val="162"/>
    </font>
    <font>
      <sz val="10"/>
      <name val="MS Sans Serif"/>
      <family val="2"/>
    </font>
    <font>
      <sz val="10"/>
      <color indexed="8"/>
      <name val="Times New Roman"/>
      <family val="1"/>
    </font>
    <font>
      <sz val="10"/>
      <color indexed="22"/>
      <name val="Arial"/>
      <family val="2"/>
    </font>
    <font>
      <sz val="12"/>
      <color indexed="22"/>
      <name val="Arial"/>
      <family val="2"/>
    </font>
    <font>
      <sz val="8"/>
      <name val="Arial"/>
      <family val="2"/>
    </font>
    <font>
      <sz val="11"/>
      <color indexed="62"/>
      <name val="Calibri"/>
      <family val="2"/>
      <charset val="162"/>
    </font>
    <font>
      <b/>
      <sz val="12"/>
      <name val="Arial"/>
      <family val="2"/>
    </font>
    <font>
      <b/>
      <sz val="14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Times New Roman"/>
      <family val="1"/>
    </font>
    <font>
      <sz val="11"/>
      <name val="Tahoma"/>
      <family val="2"/>
    </font>
    <font>
      <sz val="10"/>
      <name val="Arial"/>
      <family val="2"/>
      <charset val="162"/>
    </font>
    <font>
      <sz val="10"/>
      <name val="Arial Tur"/>
      <charset val="162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Geneva"/>
      <family val="2"/>
    </font>
    <font>
      <b/>
      <i/>
      <sz val="10"/>
      <name val="Arial"/>
      <family val="2"/>
    </font>
    <font>
      <sz val="10"/>
      <name val="Helv"/>
      <charset val="204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</font>
    <font>
      <b/>
      <sz val="14"/>
      <color rgb="FF000000"/>
      <name val="Arial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lightUp">
        <fgColor indexed="1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68">
    <xf numFmtId="0" fontId="0" fillId="0" borderId="0"/>
    <xf numFmtId="0" fontId="2" fillId="2" borderId="0" applyNumberFormat="0" applyBorder="0" applyAlignment="0" applyProtection="0"/>
    <xf numFmtId="49" fontId="3" fillId="0" borderId="0" applyFill="0" applyBorder="0" applyProtection="0">
      <alignment horizontal="left" vertical="center" wrapText="1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4" fillId="0" borderId="0" applyNumberFormat="0" applyBorder="0" applyProtection="0"/>
    <xf numFmtId="4" fontId="3" fillId="0" borderId="0" applyFill="0" applyBorder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0" fillId="0" borderId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1" fillId="18" borderId="18" applyBorder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9" applyNumberFormat="0" applyFill="0" applyAlignment="0" applyProtection="0"/>
    <xf numFmtId="0" fontId="23" fillId="0" borderId="20" applyNumberFormat="0" applyFill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5" fillId="0" borderId="0" applyNumberFormat="0" applyFill="0" applyBorder="0" applyAlignment="0" applyProtection="0"/>
    <xf numFmtId="167" fontId="26" fillId="0" borderId="0" applyFill="0" applyBorder="0" applyAlignment="0"/>
    <xf numFmtId="168" fontId="26" fillId="0" borderId="0" applyFill="0" applyBorder="0" applyAlignment="0"/>
    <xf numFmtId="169" fontId="26" fillId="0" borderId="0"/>
    <xf numFmtId="170" fontId="26" fillId="0" borderId="0" applyFill="0" applyBorder="0" applyAlignment="0"/>
    <xf numFmtId="171" fontId="26" fillId="0" borderId="0" applyFill="0" applyBorder="0" applyAlignment="0"/>
    <xf numFmtId="167" fontId="26" fillId="0" borderId="0" applyFill="0" applyBorder="0" applyAlignment="0"/>
    <xf numFmtId="172" fontId="26" fillId="0" borderId="0" applyFill="0" applyBorder="0" applyAlignment="0"/>
    <xf numFmtId="168" fontId="26" fillId="0" borderId="0" applyFill="0" applyBorder="0" applyAlignment="0"/>
    <xf numFmtId="0" fontId="27" fillId="19" borderId="24" applyNumberFormat="0" applyAlignment="0" applyProtection="0"/>
    <xf numFmtId="38" fontId="28" fillId="0" borderId="0" applyFont="0" applyFill="0" applyBorder="0" applyProtection="0">
      <alignment horizontal="right"/>
    </xf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67" fontId="26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1" fillId="0" borderId="0" applyFill="0" applyBorder="0" applyAlignment="0" applyProtection="0"/>
    <xf numFmtId="166" fontId="15" fillId="0" borderId="0" applyFont="0" applyFill="0" applyBorder="0" applyAlignment="0" applyProtection="0"/>
    <xf numFmtId="166" fontId="29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3" fontId="30" fillId="0" borderId="0" applyFont="0" applyFill="0" applyBorder="0" applyAlignment="0" applyProtection="0"/>
    <xf numFmtId="168" fontId="26" fillId="0" borderId="0" applyFont="0" applyFill="0" applyBorder="0" applyAlignment="0" applyProtection="0"/>
    <xf numFmtId="174" fontId="30" fillId="0" borderId="0" applyFont="0" applyFill="0" applyBorder="0" applyAlignment="0" applyProtection="0"/>
    <xf numFmtId="0" fontId="31" fillId="0" borderId="0" applyFill="0" applyBorder="0" applyAlignment="0" applyProtection="0"/>
    <xf numFmtId="14" fontId="12" fillId="0" borderId="0" applyFill="0" applyBorder="0" applyAlignment="0"/>
    <xf numFmtId="38" fontId="28" fillId="0" borderId="25">
      <alignment vertical="center"/>
    </xf>
    <xf numFmtId="175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67" fontId="26" fillId="0" borderId="0" applyFill="0" applyBorder="0" applyAlignment="0"/>
    <xf numFmtId="168" fontId="26" fillId="0" borderId="0" applyFill="0" applyBorder="0" applyAlignment="0"/>
    <xf numFmtId="167" fontId="26" fillId="0" borderId="0" applyFill="0" applyBorder="0" applyAlignment="0"/>
    <xf numFmtId="172" fontId="26" fillId="0" borderId="0" applyFill="0" applyBorder="0" applyAlignment="0"/>
    <xf numFmtId="168" fontId="26" fillId="0" borderId="0" applyFill="0" applyBorder="0" applyAlignment="0"/>
    <xf numFmtId="177" fontId="32" fillId="0" borderId="0" applyFont="0" applyFill="0" applyBorder="0" applyAlignment="0" applyProtection="0">
      <alignment vertical="top" wrapText="1"/>
    </xf>
    <xf numFmtId="2" fontId="31" fillId="0" borderId="0" applyFill="0" applyBorder="0" applyAlignment="0" applyProtection="0"/>
    <xf numFmtId="0" fontId="11" fillId="0" borderId="0"/>
    <xf numFmtId="0" fontId="33" fillId="9" borderId="23" applyNumberFormat="0" applyAlignment="0" applyProtection="0"/>
    <xf numFmtId="0" fontId="34" fillId="0" borderId="26" applyNumberFormat="0" applyAlignment="0" applyProtection="0">
      <alignment horizontal="left" vertical="center"/>
    </xf>
    <xf numFmtId="0" fontId="34" fillId="0" borderId="27">
      <alignment horizontal="left" vertical="center"/>
    </xf>
    <xf numFmtId="0" fontId="35" fillId="0" borderId="0"/>
    <xf numFmtId="0" fontId="34" fillId="0" borderId="0"/>
    <xf numFmtId="0" fontId="36" fillId="0" borderId="0"/>
    <xf numFmtId="0" fontId="37" fillId="0" borderId="0"/>
    <xf numFmtId="0" fontId="13" fillId="0" borderId="0"/>
    <xf numFmtId="0" fontId="38" fillId="0" borderId="0"/>
    <xf numFmtId="0" fontId="11" fillId="0" borderId="0">
      <alignment horizontal="center"/>
    </xf>
    <xf numFmtId="167" fontId="26" fillId="0" borderId="0" applyFill="0" applyBorder="0" applyAlignment="0"/>
    <xf numFmtId="168" fontId="26" fillId="0" borderId="0" applyFill="0" applyBorder="0" applyAlignment="0"/>
    <xf numFmtId="167" fontId="26" fillId="0" borderId="0" applyFill="0" applyBorder="0" applyAlignment="0"/>
    <xf numFmtId="172" fontId="26" fillId="0" borderId="0" applyFill="0" applyBorder="0" applyAlignment="0"/>
    <xf numFmtId="168" fontId="26" fillId="0" borderId="0" applyFill="0" applyBorder="0" applyAlignment="0"/>
    <xf numFmtId="0" fontId="11" fillId="0" borderId="0">
      <alignment horizontal="center"/>
    </xf>
    <xf numFmtId="17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80" fontId="39" fillId="0" borderId="0" applyFont="0" applyFill="0" applyBorder="0" applyAlignment="0" applyProtection="0"/>
    <xf numFmtId="181" fontId="39" fillId="0" borderId="0" applyFont="0" applyFill="0" applyBorder="0" applyAlignment="0" applyProtection="0"/>
    <xf numFmtId="0" fontId="16" fillId="0" borderId="0"/>
    <xf numFmtId="0" fontId="4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11" fillId="0" borderId="0"/>
    <xf numFmtId="0" fontId="41" fillId="0" borderId="0"/>
    <xf numFmtId="0" fontId="11" fillId="0" borderId="0"/>
    <xf numFmtId="0" fontId="11" fillId="0" borderId="0"/>
    <xf numFmtId="0" fontId="50" fillId="0" borderId="0"/>
    <xf numFmtId="0" fontId="50" fillId="0" borderId="0"/>
    <xf numFmtId="0" fontId="11" fillId="0" borderId="0"/>
    <xf numFmtId="0" fontId="14" fillId="0" borderId="0" applyProtection="0"/>
    <xf numFmtId="0" fontId="11" fillId="0" borderId="0"/>
    <xf numFmtId="0" fontId="11" fillId="0" borderId="0"/>
    <xf numFmtId="0" fontId="15" fillId="0" borderId="0"/>
    <xf numFmtId="0" fontId="11" fillId="0" borderId="0" applyProtection="0"/>
    <xf numFmtId="0" fontId="11" fillId="0" borderId="0"/>
    <xf numFmtId="0" fontId="16" fillId="0" borderId="0"/>
    <xf numFmtId="0" fontId="42" fillId="0" borderId="0"/>
    <xf numFmtId="0" fontId="11" fillId="0" borderId="0" applyProtection="0"/>
    <xf numFmtId="0" fontId="43" fillId="0" borderId="0"/>
    <xf numFmtId="0" fontId="16" fillId="0" borderId="0"/>
    <xf numFmtId="0" fontId="11" fillId="0" borderId="0"/>
    <xf numFmtId="0" fontId="11" fillId="0" borderId="0"/>
    <xf numFmtId="0" fontId="17" fillId="0" borderId="0"/>
    <xf numFmtId="0" fontId="16" fillId="0" borderId="0"/>
    <xf numFmtId="0" fontId="11" fillId="0" borderId="0"/>
    <xf numFmtId="0" fontId="16" fillId="0" borderId="0"/>
    <xf numFmtId="0" fontId="40" fillId="0" borderId="0"/>
    <xf numFmtId="0" fontId="16" fillId="0" borderId="0"/>
    <xf numFmtId="0" fontId="51" fillId="0" borderId="0"/>
    <xf numFmtId="0" fontId="16" fillId="0" borderId="0"/>
    <xf numFmtId="0" fontId="11" fillId="0" borderId="0"/>
    <xf numFmtId="0" fontId="16" fillId="0" borderId="0"/>
    <xf numFmtId="0" fontId="44" fillId="0" borderId="0"/>
    <xf numFmtId="0" fontId="45" fillId="0" borderId="0"/>
    <xf numFmtId="0" fontId="11" fillId="20" borderId="28" applyNumberFormat="0" applyFont="0" applyAlignment="0" applyProtection="0"/>
    <xf numFmtId="0" fontId="11" fillId="0" borderId="0"/>
    <xf numFmtId="0" fontId="46" fillId="0" borderId="0"/>
    <xf numFmtId="17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26" fillId="0" borderId="0" applyFill="0" applyBorder="0" applyAlignment="0"/>
    <xf numFmtId="168" fontId="26" fillId="0" borderId="0" applyFill="0" applyBorder="0" applyAlignment="0"/>
    <xf numFmtId="167" fontId="26" fillId="0" borderId="0" applyFill="0" applyBorder="0" applyAlignment="0"/>
    <xf numFmtId="172" fontId="26" fillId="0" borderId="0" applyFill="0" applyBorder="0" applyAlignment="0"/>
    <xf numFmtId="168" fontId="26" fillId="0" borderId="0" applyFill="0" applyBorder="0" applyAlignment="0"/>
    <xf numFmtId="0" fontId="11" fillId="0" borderId="0"/>
    <xf numFmtId="0" fontId="11" fillId="0" borderId="0"/>
    <xf numFmtId="0" fontId="47" fillId="0" borderId="0"/>
    <xf numFmtId="49" fontId="12" fillId="0" borderId="0" applyFill="0" applyBorder="0" applyAlignment="0"/>
    <xf numFmtId="183" fontId="26" fillId="0" borderId="0" applyFill="0" applyBorder="0" applyAlignment="0"/>
    <xf numFmtId="184" fontId="26" fillId="0" borderId="0" applyFill="0" applyBorder="0" applyAlignment="0"/>
    <xf numFmtId="0" fontId="48" fillId="0" borderId="29" applyNumberFormat="0" applyFill="0" applyAlignment="0" applyProtection="0"/>
    <xf numFmtId="0" fontId="11" fillId="0" borderId="0"/>
    <xf numFmtId="0" fontId="49" fillId="0" borderId="0" applyNumberFormat="0" applyFill="0" applyBorder="0" applyAlignment="0" applyProtection="0"/>
    <xf numFmtId="0" fontId="11" fillId="0" borderId="0">
      <alignment horizontal="center" textRotation="90"/>
    </xf>
    <xf numFmtId="185" fontId="42" fillId="0" borderId="0" applyFont="0" applyFill="0" applyBorder="0" applyAlignment="0" applyProtection="0"/>
    <xf numFmtId="186" fontId="42" fillId="0" borderId="0" applyFont="0" applyFill="0" applyBorder="0" applyAlignment="0" applyProtection="0"/>
    <xf numFmtId="165" fontId="10" fillId="0" borderId="0" applyFont="0" applyFill="0" applyBorder="0" applyAlignment="0" applyProtection="0"/>
    <xf numFmtId="187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89" fontId="11" fillId="0" borderId="0" applyFont="0" applyFill="0" applyBorder="0" applyAlignment="0" applyProtection="0"/>
  </cellStyleXfs>
  <cellXfs count="97">
    <xf numFmtId="0" fontId="0" fillId="0" borderId="0" xfId="0"/>
    <xf numFmtId="0" fontId="5" fillId="3" borderId="0" xfId="5" applyFont="1" applyFill="1" applyAlignment="1">
      <alignment vertical="center"/>
    </xf>
    <xf numFmtId="49" fontId="5" fillId="3" borderId="0" xfId="5" applyNumberFormat="1" applyFont="1" applyFill="1" applyAlignment="1">
      <alignment vertical="center" wrapText="1"/>
    </xf>
    <xf numFmtId="0" fontId="6" fillId="3" borderId="0" xfId="5" applyFont="1" applyFill="1" applyAlignment="1">
      <alignment horizontal="center" vertical="center" wrapText="1"/>
    </xf>
    <xf numFmtId="4" fontId="6" fillId="3" borderId="0" xfId="5" applyNumberFormat="1" applyFont="1" applyFill="1" applyAlignment="1">
      <alignment horizontal="center" vertical="center" wrapText="1"/>
    </xf>
    <xf numFmtId="0" fontId="6" fillId="3" borderId="0" xfId="5" applyFont="1" applyFill="1" applyAlignment="1">
      <alignment horizontal="center" vertical="center"/>
    </xf>
    <xf numFmtId="0" fontId="6" fillId="3" borderId="0" xfId="5" applyFont="1" applyFill="1" applyAlignment="1">
      <alignment vertical="center" wrapText="1"/>
    </xf>
    <xf numFmtId="4" fontId="6" fillId="3" borderId="0" xfId="5" applyNumberFormat="1" applyFont="1" applyFill="1" applyAlignment="1">
      <alignment horizontal="center" vertical="center"/>
    </xf>
    <xf numFmtId="0" fontId="6" fillId="3" borderId="0" xfId="7" applyFont="1" applyFill="1" applyAlignment="1">
      <alignment horizontal="left" vertical="top" wrapText="1"/>
    </xf>
    <xf numFmtId="0" fontId="5" fillId="3" borderId="0" xfId="7" applyFont="1" applyFill="1" applyAlignment="1">
      <alignment horizontal="left" vertical="top" wrapText="1"/>
    </xf>
    <xf numFmtId="0" fontId="6" fillId="3" borderId="0" xfId="7" applyFont="1" applyFill="1" applyAlignment="1">
      <alignment vertical="center"/>
    </xf>
    <xf numFmtId="0" fontId="6" fillId="3" borderId="0" xfId="5" applyFont="1" applyFill="1" applyAlignment="1">
      <alignment horizontal="left" vertical="center"/>
    </xf>
    <xf numFmtId="0" fontId="5" fillId="3" borderId="0" xfId="7" applyFont="1" applyFill="1" applyAlignment="1">
      <alignment vertical="center" wrapText="1"/>
    </xf>
    <xf numFmtId="0" fontId="7" fillId="3" borderId="0" xfId="7" applyFont="1" applyFill="1" applyAlignment="1">
      <alignment horizontal="left" vertical="center" wrapText="1"/>
    </xf>
    <xf numFmtId="0" fontId="6" fillId="3" borderId="0" xfId="7" applyFont="1" applyFill="1" applyAlignment="1">
      <alignment vertical="top"/>
    </xf>
    <xf numFmtId="0" fontId="6" fillId="3" borderId="0" xfId="7" applyFont="1" applyFill="1" applyAlignment="1">
      <alignment horizontal="left" vertical="top"/>
    </xf>
    <xf numFmtId="0" fontId="6" fillId="3" borderId="0" xfId="7" applyFont="1" applyFill="1" applyAlignment="1">
      <alignment vertical="top" wrapText="1"/>
    </xf>
    <xf numFmtId="0" fontId="5" fillId="3" borderId="0" xfId="7" applyFont="1" applyFill="1" applyAlignment="1">
      <alignment horizontal="left" vertical="center" wrapText="1"/>
    </xf>
    <xf numFmtId="0" fontId="4" fillId="3" borderId="0" xfId="9" applyFill="1" applyAlignment="1">
      <alignment vertical="center"/>
    </xf>
    <xf numFmtId="0" fontId="7" fillId="3" borderId="0" xfId="7" applyFont="1" applyFill="1" applyAlignment="1">
      <alignment horizontal="left" vertical="center"/>
    </xf>
    <xf numFmtId="1" fontId="5" fillId="3" borderId="0" xfId="5" applyNumberFormat="1" applyFont="1" applyFill="1" applyAlignment="1">
      <alignment horizontal="center" vertical="center" wrapText="1"/>
    </xf>
    <xf numFmtId="1" fontId="5" fillId="3" borderId="0" xfId="5" applyNumberFormat="1" applyFont="1" applyFill="1" applyAlignment="1">
      <alignment horizontal="left" vertical="center"/>
    </xf>
    <xf numFmtId="1" fontId="5" fillId="3" borderId="0" xfId="5" applyNumberFormat="1" applyFont="1" applyFill="1" applyAlignment="1">
      <alignment vertical="center" wrapText="1"/>
    </xf>
    <xf numFmtId="0" fontId="8" fillId="0" borderId="2" xfId="10" applyFont="1" applyBorder="1" applyAlignment="1">
      <alignment horizontal="center" vertical="center" wrapText="1"/>
    </xf>
    <xf numFmtId="0" fontId="8" fillId="0" borderId="3" xfId="10" applyFont="1" applyBorder="1" applyAlignment="1">
      <alignment horizontal="center" vertical="center" wrapText="1"/>
    </xf>
    <xf numFmtId="4" fontId="8" fillId="0" borderId="3" xfId="10" applyNumberFormat="1" applyFont="1" applyBorder="1" applyAlignment="1">
      <alignment horizontal="center" vertical="center" wrapText="1"/>
    </xf>
    <xf numFmtId="4" fontId="8" fillId="0" borderId="4" xfId="10" applyNumberFormat="1" applyFont="1" applyBorder="1" applyAlignment="1">
      <alignment horizontal="center" vertical="center" wrapText="1"/>
    </xf>
    <xf numFmtId="0" fontId="4" fillId="0" borderId="8" xfId="12" applyFont="1" applyBorder="1" applyAlignment="1">
      <alignment vertical="center" wrapText="1"/>
    </xf>
    <xf numFmtId="0" fontId="4" fillId="0" borderId="8" xfId="12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3" borderId="0" xfId="7" applyFont="1" applyFill="1" applyAlignment="1">
      <alignment horizontal="center" vertical="center"/>
    </xf>
    <xf numFmtId="0" fontId="7" fillId="3" borderId="0" xfId="7" applyFont="1" applyFill="1" applyAlignment="1">
      <alignment horizontal="center" vertical="center"/>
    </xf>
    <xf numFmtId="0" fontId="5" fillId="3" borderId="0" xfId="7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vertical="center" wrapText="1"/>
    </xf>
    <xf numFmtId="165" fontId="11" fillId="0" borderId="5" xfId="164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vertical="center" wrapText="1"/>
    </xf>
    <xf numFmtId="165" fontId="11" fillId="0" borderId="6" xfId="164" applyFont="1" applyFill="1" applyBorder="1" applyAlignment="1">
      <alignment horizontal="center" vertical="center"/>
    </xf>
    <xf numFmtId="165" fontId="11" fillId="0" borderId="8" xfId="164" applyFont="1" applyFill="1" applyBorder="1" applyAlignment="1">
      <alignment horizontal="center" vertical="center"/>
    </xf>
    <xf numFmtId="165" fontId="11" fillId="0" borderId="9" xfId="164" applyFont="1" applyFill="1" applyBorder="1" applyAlignment="1">
      <alignment horizontal="center" vertical="center"/>
    </xf>
    <xf numFmtId="165" fontId="11" fillId="0" borderId="31" xfId="164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/>
    </xf>
    <xf numFmtId="165" fontId="11" fillId="0" borderId="36" xfId="164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vertical="center" wrapText="1"/>
    </xf>
    <xf numFmtId="4" fontId="0" fillId="0" borderId="11" xfId="0" applyNumberFormat="1" applyBorder="1" applyAlignment="1">
      <alignment horizontal="center" vertical="center"/>
    </xf>
    <xf numFmtId="4" fontId="0" fillId="3" borderId="11" xfId="0" applyNumberFormat="1" applyFill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0" fillId="3" borderId="5" xfId="0" applyNumberFormat="1" applyFill="1" applyBorder="1" applyAlignment="1">
      <alignment horizontal="center" vertical="center"/>
    </xf>
    <xf numFmtId="4" fontId="52" fillId="0" borderId="39" xfId="0" applyNumberFormat="1" applyFont="1" applyBorder="1"/>
    <xf numFmtId="165" fontId="52" fillId="3" borderId="15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165" fontId="11" fillId="0" borderId="16" xfId="164" applyFont="1" applyFill="1" applyBorder="1" applyAlignment="1">
      <alignment horizontal="center" vertical="center"/>
    </xf>
    <xf numFmtId="4" fontId="0" fillId="3" borderId="12" xfId="0" applyNumberFormat="1" applyFill="1" applyBorder="1" applyAlignment="1">
      <alignment horizontal="center" vertical="center"/>
    </xf>
    <xf numFmtId="4" fontId="0" fillId="3" borderId="6" xfId="0" applyNumberFormat="1" applyFill="1" applyBorder="1" applyAlignment="1">
      <alignment horizontal="center" vertical="center"/>
    </xf>
    <xf numFmtId="4" fontId="1" fillId="3" borderId="8" xfId="12" applyNumberFormat="1" applyFill="1" applyBorder="1" applyAlignment="1">
      <alignment horizontal="center" vertical="center"/>
    </xf>
    <xf numFmtId="0" fontId="1" fillId="3" borderId="8" xfId="12" applyFill="1" applyBorder="1" applyAlignment="1">
      <alignment horizontal="center" vertical="center"/>
    </xf>
    <xf numFmtId="0" fontId="1" fillId="3" borderId="9" xfId="12" applyFill="1" applyBorder="1" applyAlignment="1">
      <alignment horizontal="center" vertical="center"/>
    </xf>
    <xf numFmtId="0" fontId="4" fillId="0" borderId="0" xfId="12" applyFont="1" applyAlignment="1">
      <alignment vertical="center" wrapText="1"/>
    </xf>
    <xf numFmtId="4" fontId="0" fillId="0" borderId="0" xfId="0" applyNumberFormat="1"/>
    <xf numFmtId="0" fontId="52" fillId="0" borderId="37" xfId="0" applyFont="1" applyBorder="1" applyAlignment="1">
      <alignment horizontal="center"/>
    </xf>
    <xf numFmtId="0" fontId="52" fillId="0" borderId="38" xfId="0" applyFont="1" applyBorder="1" applyAlignment="1">
      <alignment horizontal="center"/>
    </xf>
    <xf numFmtId="0" fontId="8" fillId="0" borderId="1" xfId="10" applyFont="1" applyBorder="1" applyAlignment="1">
      <alignment horizontal="center" vertical="center" wrapText="1"/>
    </xf>
    <xf numFmtId="0" fontId="0" fillId="3" borderId="0" xfId="0" applyFill="1"/>
    <xf numFmtId="0" fontId="5" fillId="3" borderId="0" xfId="7" applyFont="1" applyFill="1" applyAlignment="1">
      <alignment horizontal="center" vertical="top"/>
    </xf>
    <xf numFmtId="1" fontId="9" fillId="3" borderId="0" xfId="5" applyNumberFormat="1" applyFont="1" applyFill="1" applyAlignment="1">
      <alignment horizontal="center" vertical="center" wrapText="1"/>
    </xf>
    <xf numFmtId="1" fontId="5" fillId="3" borderId="0" xfId="5" applyNumberFormat="1" applyFont="1" applyFill="1" applyAlignment="1">
      <alignment horizontal="center" vertical="center" wrapText="1"/>
    </xf>
    <xf numFmtId="1" fontId="5" fillId="3" borderId="0" xfId="5" applyNumberFormat="1" applyFont="1" applyFill="1" applyAlignment="1">
      <alignment horizontal="left" vertical="center"/>
    </xf>
    <xf numFmtId="0" fontId="6" fillId="3" borderId="0" xfId="5" applyFont="1" applyFill="1" applyAlignment="1">
      <alignment horizontal="center" vertical="center"/>
    </xf>
    <xf numFmtId="0" fontId="6" fillId="3" borderId="0" xfId="7" applyFont="1" applyFill="1" applyAlignment="1">
      <alignment horizontal="left" vertical="top" wrapText="1"/>
    </xf>
    <xf numFmtId="0" fontId="5" fillId="3" borderId="0" xfId="7" applyFont="1" applyFill="1" applyAlignment="1">
      <alignment horizontal="center" vertical="center" wrapText="1"/>
    </xf>
    <xf numFmtId="0" fontId="8" fillId="0" borderId="0" xfId="9" applyFont="1" applyAlignment="1">
      <alignment horizontal="left" vertical="center"/>
    </xf>
    <xf numFmtId="0" fontId="53" fillId="3" borderId="0" xfId="7" applyFont="1" applyFill="1" applyAlignment="1">
      <alignment horizontal="center" vertical="center" wrapText="1"/>
    </xf>
    <xf numFmtId="0" fontId="0" fillId="0" borderId="34" xfId="0" applyBorder="1"/>
    <xf numFmtId="0" fontId="0" fillId="0" borderId="35" xfId="0" applyBorder="1"/>
    <xf numFmtId="0" fontId="0" fillId="0" borderId="31" xfId="0" applyBorder="1"/>
    <xf numFmtId="0" fontId="0" fillId="0" borderId="32" xfId="0" applyBorder="1"/>
    <xf numFmtId="0" fontId="52" fillId="0" borderId="17" xfId="0" applyFont="1" applyBorder="1" applyAlignment="1">
      <alignment horizontal="center"/>
    </xf>
    <xf numFmtId="0" fontId="52" fillId="0" borderId="14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5" fillId="3" borderId="0" xfId="7" applyFont="1" applyFill="1" applyAlignment="1">
      <alignment horizontal="center" vertical="center"/>
    </xf>
  </cellXfs>
  <cellStyles count="168">
    <cellStyle name="%20 - Vurgu1" xfId="16" xr:uid="{52B55EED-4C80-477B-A2C6-2746E921A3CD}"/>
    <cellStyle name="%20 - Vurgu2" xfId="17" xr:uid="{535B36A6-A739-4FB5-BD3A-857C2A616527}"/>
    <cellStyle name="%20 - Vurgu3" xfId="18" xr:uid="{9CE67A9A-0E77-4478-8A5E-D71BB7C6D3AF}"/>
    <cellStyle name="%20 - Vurgu4" xfId="19" xr:uid="{3FBE56C7-7917-444D-A7EE-C4D40B4A2E3C}"/>
    <cellStyle name="%20 - Vurgu5" xfId="20" xr:uid="{61010597-E279-45F2-B524-BEFE1F94ADAF}"/>
    <cellStyle name="%20 - Vurgu6" xfId="21" xr:uid="{7025662E-FF19-4756-9325-5551C8D67461}"/>
    <cellStyle name="%40 - Vurgu1" xfId="22" xr:uid="{81A1945B-6987-4ABC-AF4B-7928ADD9B0F1}"/>
    <cellStyle name="%40 - Vurgu2" xfId="23" xr:uid="{14C75822-3D6A-45C6-A618-6D5E7DA5A8AE}"/>
    <cellStyle name="%40 - Vurgu3" xfId="24" xr:uid="{0C6CB4F6-68B6-429F-BA83-0A89EC7B57B2}"/>
    <cellStyle name="%40 - Vurgu4" xfId="25" xr:uid="{FB9E900E-BD0C-4E79-8345-A8E7C52B33C3}"/>
    <cellStyle name="%40 - Vurgu5" xfId="26" xr:uid="{399DBDC5-09C9-41F4-AD6D-A2107A729C8E}"/>
    <cellStyle name="%40 - Vurgu6" xfId="27" xr:uid="{52025879-6EBD-4B21-88A6-CC4635F647EB}"/>
    <cellStyle name="%60 - Vurgu1" xfId="28" xr:uid="{244C38CA-BB2B-403D-A22B-27C2755EBF87}"/>
    <cellStyle name="%60 - Vurgu2" xfId="29" xr:uid="{35CC3C2B-3140-433B-AB8E-485A2C8E82CD}"/>
    <cellStyle name="%60 - Vurgu3" xfId="30" xr:uid="{E6072D91-8D16-44C9-8AA5-1BAFB3B7DF11}"/>
    <cellStyle name="%60 - Vurgu4" xfId="31" xr:uid="{F1BF0221-EA60-448D-AEF9-738844C0FF31}"/>
    <cellStyle name="%60 - Vurgu5" xfId="32" xr:uid="{7FEE646C-01B4-4A5D-8B89-F016BCFCDAD2}"/>
    <cellStyle name="%60 - Vurgu6" xfId="33" xr:uid="{883FD671-CE23-4327-81B5-3D0F5FE708AA}"/>
    <cellStyle name="1" xfId="34" xr:uid="{EFB0D49A-B790-46DF-9553-F2C233E2F576}"/>
    <cellStyle name="Açıklama Metni" xfId="35" xr:uid="{CD150058-111B-42AC-83D3-D17922FF27D3}"/>
    <cellStyle name="Ana Başlık" xfId="36" xr:uid="{DD0C7D4E-EDBF-4927-870A-FE05A02FB490}"/>
    <cellStyle name="Bad 2" xfId="1" xr:uid="{4C6745B3-2FAE-4015-8158-07ABDBDCA223}"/>
    <cellStyle name="Bağlı Hücre" xfId="37" xr:uid="{5006EFA7-181D-4AF4-ABF9-8C613BD2E092}"/>
    <cellStyle name="Başlık 1" xfId="38" xr:uid="{F2C5F679-6B24-4B83-81AE-3F7103939771}"/>
    <cellStyle name="Başlık 2" xfId="39" xr:uid="{5BC80771-F386-4190-A7F9-875646257675}"/>
    <cellStyle name="Başlık 3" xfId="40" xr:uid="{474F45DC-E3EF-4EA8-8582-9F1113D313E7}"/>
    <cellStyle name="Başlık 4" xfId="41" xr:uid="{48C5374E-79D2-4A6F-A6D6-1AC734A4D517}"/>
    <cellStyle name="Calc Currency (0)" xfId="42" xr:uid="{0B89F9B9-7E5F-479F-9DB5-FB100F32B001}"/>
    <cellStyle name="Calc Currency (2)" xfId="43" xr:uid="{549AE34C-EC0B-4015-A858-BA78E6239703}"/>
    <cellStyle name="Calc Percent (0)" xfId="44" xr:uid="{A813493B-F5E5-4944-AC32-E9179A3EBAD3}"/>
    <cellStyle name="Calc Percent (1)" xfId="45" xr:uid="{341E927D-FD93-4D23-9D71-A05EBE2FD769}"/>
    <cellStyle name="Calc Percent (2)" xfId="46" xr:uid="{D94FB6E9-A713-497F-8092-71D18BA2AB6F}"/>
    <cellStyle name="Calc Units (0)" xfId="47" xr:uid="{9A75FC68-EC95-4ADB-98F1-1232233D6F57}"/>
    <cellStyle name="Calc Units (1)" xfId="48" xr:uid="{58D7C1FF-E2EF-4E2E-A6C7-14DDDE8AE977}"/>
    <cellStyle name="Calc Units (2)" xfId="49" xr:uid="{24FF7DFA-09E8-4E1C-938D-BCAA7B94FE39}"/>
    <cellStyle name="Çıkış" xfId="50" xr:uid="{2250E644-3C48-4092-8BF6-3F4E1607B500}"/>
    <cellStyle name="Cod" xfId="2" xr:uid="{1D35E812-DB37-4D37-B04E-A838C204CE73}"/>
    <cellStyle name="Comma [0] 2" xfId="51" xr:uid="{D8501711-75BB-4C82-98EF-6F5E14FE71C4}"/>
    <cellStyle name="Comma [0] 3" xfId="52" xr:uid="{23E144C0-A18F-4578-BA6A-F96E6F29A534}"/>
    <cellStyle name="Comma [0] 4" xfId="53" xr:uid="{FD2A7940-44B5-4A64-9F58-1427F9A33B5A}"/>
    <cellStyle name="Comma [00]" xfId="54" xr:uid="{D8EF5025-28C5-4F40-AB06-D00B5B95E501}"/>
    <cellStyle name="Comma 2" xfId="3" xr:uid="{0FBF7064-2ACC-491A-9321-F9FB0B3A4802}"/>
    <cellStyle name="Comma 2 2" xfId="4" xr:uid="{9E1A992A-DF78-4D96-B4E2-93B2F3A87A49}"/>
    <cellStyle name="Comma 2 2 2" xfId="56" xr:uid="{C499EC24-5051-489B-8416-29B07F8AFE2F}"/>
    <cellStyle name="Comma 2 3" xfId="57" xr:uid="{D2D54530-0867-47B3-875B-B179D995CC4D}"/>
    <cellStyle name="Comma 2 4" xfId="55" xr:uid="{C911E60A-B4E4-447E-8EDC-B4DA41F8CC5E}"/>
    <cellStyle name="Comma 3" xfId="58" xr:uid="{F4DB0723-DCAE-446B-96F5-22B01EE1A181}"/>
    <cellStyle name="Comma 4" xfId="59" xr:uid="{2952D0F0-DEA1-455B-8263-67F1417A85A1}"/>
    <cellStyle name="Comma 4 2" xfId="60" xr:uid="{4D0901A5-6E70-4FED-A9B3-88FBAB01530E}"/>
    <cellStyle name="Comma0" xfId="61" xr:uid="{6750DB25-3F66-44A6-9D2B-1142C69DCD3B}"/>
    <cellStyle name="Currency [00]" xfId="62" xr:uid="{7E1875D5-5AA2-4925-B64E-D8ED6634B0B7}"/>
    <cellStyle name="Currency0" xfId="63" xr:uid="{9A5D5D7B-677A-4E86-9092-27C03DDB00F8}"/>
    <cellStyle name="Date" xfId="64" xr:uid="{7A7AC052-EE90-4600-B307-EB4785D472BA}"/>
    <cellStyle name="Date Short" xfId="65" xr:uid="{22F6511C-3B6F-401B-BA2C-DF85D0D9EB0E}"/>
    <cellStyle name="DELTA" xfId="66" xr:uid="{F66EEB77-BDB2-4474-88CF-9995C0C42A4A}"/>
    <cellStyle name="Dezimal [0]_Software Project Status" xfId="67" xr:uid="{1464DC1B-601E-4287-9A7A-7E81AD17AB2B}"/>
    <cellStyle name="Dezimal_Software Project Status" xfId="68" xr:uid="{A4BB3105-5C1C-48CA-BBFC-DF8DEBC1E95E}"/>
    <cellStyle name="Enter Currency (0)" xfId="69" xr:uid="{E4E18A49-4DF9-4BC6-80FF-8B718878B52C}"/>
    <cellStyle name="Enter Currency (2)" xfId="70" xr:uid="{4D7CA885-C350-44CD-8B8F-665A4706416F}"/>
    <cellStyle name="Enter Units (0)" xfId="71" xr:uid="{76348FB4-8026-409B-8351-7521DE5941BB}"/>
    <cellStyle name="Enter Units (1)" xfId="72" xr:uid="{AF4A1F10-01A8-4ECB-9E2D-FFD4DCB885D1}"/>
    <cellStyle name="Enter Units (2)" xfId="73" xr:uid="{0AE033A7-03A5-4A14-A89F-6BD92AC5F30E}"/>
    <cellStyle name="Euro" xfId="74" xr:uid="{47DFAB18-39D5-4343-A2AB-12D3DDCABD0F}"/>
    <cellStyle name="Fixed" xfId="75" xr:uid="{5C08B3B8-71D6-4170-9807-344FF9E494C9}"/>
    <cellStyle name="Flag" xfId="76" xr:uid="{641761F2-BF97-4C8C-B527-9B7DA92F1369}"/>
    <cellStyle name="Giriş" xfId="77" xr:uid="{4B9A171F-FD81-47C8-A4FD-063333A1E65E}"/>
    <cellStyle name="Header1" xfId="78" xr:uid="{65FC6536-E2B8-4D0D-93C4-2ADCE12956BD}"/>
    <cellStyle name="Header2" xfId="79" xr:uid="{F788B580-AD6D-45CB-BEF3-8B1CAEAB6D23}"/>
    <cellStyle name="Heading1" xfId="80" xr:uid="{79C7A87A-2E12-422F-9B8D-1CD6D39C39E6}"/>
    <cellStyle name="Heading2" xfId="81" xr:uid="{6C9C719B-BC90-470F-9E54-7432FA5BC481}"/>
    <cellStyle name="Heading3" xfId="82" xr:uid="{DEB40DE6-13D0-4588-AA44-431B12754429}"/>
    <cellStyle name="Heading4" xfId="83" xr:uid="{A5B1C2A7-8F00-4781-A905-050D42DF8D51}"/>
    <cellStyle name="Heading5" xfId="84" xr:uid="{CEA6819E-F7B6-4E20-A8EC-CB50F1E478EC}"/>
    <cellStyle name="Heading6" xfId="85" xr:uid="{AF80374E-CFF1-452F-8971-E31868E32B3F}"/>
    <cellStyle name="Horizontal" xfId="86" xr:uid="{BC7FD292-22D3-415E-9DC2-348260F613F8}"/>
    <cellStyle name="Link Currency (0)" xfId="87" xr:uid="{E7D8B1B3-4743-4DBF-949E-A7CC98B70841}"/>
    <cellStyle name="Link Currency (2)" xfId="88" xr:uid="{C987F304-3BA2-4C36-8AD2-937E49464CAA}"/>
    <cellStyle name="Link Units (0)" xfId="89" xr:uid="{6992E4CC-1BCA-4211-8333-72C46F73758A}"/>
    <cellStyle name="Link Units (1)" xfId="90" xr:uid="{3B99B195-580F-4307-99E5-7EA63713B949}"/>
    <cellStyle name="Link Units (2)" xfId="91" xr:uid="{28A22F8C-3603-47BB-8184-C626DC629F33}"/>
    <cellStyle name="Matrix" xfId="92" xr:uid="{BA286862-2F4C-4433-B8A5-B2AE454B5D57}"/>
    <cellStyle name="Millares [0]_3_pasos superiores_pretur" xfId="93" xr:uid="{F5ED3F1A-FCEF-4E35-9910-FA8AB522862D}"/>
    <cellStyle name="Millares_3_pasos superiores_pretur" xfId="94" xr:uid="{9B8CEDB8-D312-4FA3-9D86-5DD94B5BA6A5}"/>
    <cellStyle name="Moneda [0]_3_pasos superiores_pretur" xfId="95" xr:uid="{3F1E53FF-9926-4DB3-BA91-C282A3D2E789}"/>
    <cellStyle name="Moneda_3_pasos superiores_pretur" xfId="96" xr:uid="{6C1007A4-8475-402D-8767-B1035CE0D2F6}"/>
    <cellStyle name="Normal" xfId="0" builtinId="0" customBuiltin="1"/>
    <cellStyle name="Normal 10" xfId="97" xr:uid="{835DE1E9-6CCA-40D0-A665-99CA1C26408E}"/>
    <cellStyle name="Normal 10 2" xfId="98" xr:uid="{2BF95D55-B5C6-4652-9828-AE738B98EC16}"/>
    <cellStyle name="Normal 11" xfId="99" xr:uid="{782E8DC1-691A-486A-BFCE-8AEA67B2705C}"/>
    <cellStyle name="Normal 12" xfId="100" xr:uid="{F07EC83F-4243-4B8D-89BC-447D2C196855}"/>
    <cellStyle name="Normal 13" xfId="101" xr:uid="{D83D7FE9-CEC7-4471-B024-29DBA7E0CA98}"/>
    <cellStyle name="Normal 14" xfId="102" xr:uid="{5548B89A-4173-46A1-9A4E-E0EC75ACE843}"/>
    <cellStyle name="Normal 15" xfId="103" xr:uid="{16C13CB2-3033-424F-B28B-F3AEBDB2B8B2}"/>
    <cellStyle name="Normal 16" xfId="104" xr:uid="{71F01A9D-6550-4D57-BF31-EEB92B1CA678}"/>
    <cellStyle name="Normal 17" xfId="105" xr:uid="{96432D43-D214-4656-9BB0-3F6AB7563759}"/>
    <cellStyle name="Normal 18" xfId="106" xr:uid="{7F320916-3F08-46D6-8487-D5CB74B99784}"/>
    <cellStyle name="Normal 19" xfId="107" xr:uid="{5E12ED13-97F5-4AC6-ABE7-D06450AFED7D}"/>
    <cellStyle name="Normal 2" xfId="12" xr:uid="{5D179250-D50F-4524-8033-BA181C1E082B}"/>
    <cellStyle name="Normal 2 2" xfId="5" xr:uid="{FF40C38A-9487-4C10-AA56-2BA18DCB69AF}"/>
    <cellStyle name="Normal 2 2 2" xfId="109" xr:uid="{8417C74D-8807-4CBA-A05F-9595659CAEF8}"/>
    <cellStyle name="Normal 2 3" xfId="110" xr:uid="{8796C580-8241-46C7-8F2C-DE36EE976A93}"/>
    <cellStyle name="Normal 2 4" xfId="111" xr:uid="{1B1B5022-1B36-455F-BDEB-735873D25192}"/>
    <cellStyle name="Normal 2 4 2" xfId="112" xr:uid="{1C62EC1F-6482-455B-B8F7-85C8AA944D62}"/>
    <cellStyle name="Normal 2 5" xfId="113" xr:uid="{49318B5B-03F3-4F69-9DA6-48D80A6239C9}"/>
    <cellStyle name="Normal 2 5 2" xfId="114" xr:uid="{BC3EA065-2905-4650-A5C2-4B8070EB375E}"/>
    <cellStyle name="Normal 2 6" xfId="108" xr:uid="{4343E97F-234E-4B8F-8F17-734C86B3C76E}"/>
    <cellStyle name="Normal 20" xfId="115" xr:uid="{656A4337-7898-4AAF-AD22-3813824BD3B3}"/>
    <cellStyle name="Normal 21" xfId="116" xr:uid="{5B58D331-6C2E-4CE5-94BF-10711E0F89CE}"/>
    <cellStyle name="Normal 22" xfId="15" xr:uid="{27B3A52B-27B5-439C-80E9-734343B7D70B}"/>
    <cellStyle name="Normal 24" xfId="117" xr:uid="{3FF6702B-CA98-46F4-B963-D3D7E92D0B74}"/>
    <cellStyle name="Normal 24 2" xfId="118" xr:uid="{78764967-359D-4DE3-A8CB-6EEE022996CE}"/>
    <cellStyle name="Normal 25" xfId="119" xr:uid="{351BCB29-6133-4527-837C-9E4EF0370001}"/>
    <cellStyle name="Normal 26" xfId="120" xr:uid="{08D01077-6D2B-4BB1-86A9-D01EC9319D4B}"/>
    <cellStyle name="Normal 27" xfId="121" xr:uid="{DC5BF0AB-932F-433A-9978-A24F944CFF29}"/>
    <cellStyle name="Normal 3" xfId="6" xr:uid="{C20758A1-BFA0-4EFA-91BD-2400F63BFC66}"/>
    <cellStyle name="Normal 3 2" xfId="7" xr:uid="{FC247CF5-39B6-431F-ABCC-A42A5A89353B}"/>
    <cellStyle name="Normal 3 2 2" xfId="123" xr:uid="{C4F97C8D-A1DD-4E06-9695-D0A4DD1C6AF0}"/>
    <cellStyle name="Normal 3 3" xfId="124" xr:uid="{779FDDD1-A805-4599-B100-78B3A89C510C}"/>
    <cellStyle name="Normal 3 4" xfId="122" xr:uid="{CE3967BF-DC85-49C3-8FCB-C0901F11D9C1}"/>
    <cellStyle name="Normal 4" xfId="13" xr:uid="{D087A384-5C7D-4CB5-9724-B7F9E30DF184}"/>
    <cellStyle name="Normal 4 2" xfId="126" xr:uid="{240604AF-6ED4-42AA-96AE-4F987411E38E}"/>
    <cellStyle name="Normal 4 2 2" xfId="127" xr:uid="{ADE4FA76-AE27-4B18-95FD-63B3C14D0CAF}"/>
    <cellStyle name="Normal 4 3" xfId="128" xr:uid="{81B0D6FB-3D83-4442-997E-C5F34FA4184A}"/>
    <cellStyle name="Normal 4 4" xfId="125" xr:uid="{27242CC0-657B-47D6-A803-86DCECF7053D}"/>
    <cellStyle name="Normal 5" xfId="8" xr:uid="{EB112FB6-F398-4818-B86C-2F3CD50D115B}"/>
    <cellStyle name="Normal 5 2" xfId="130" xr:uid="{B20E46BA-695B-41AD-B634-4F6E3361891C}"/>
    <cellStyle name="Normal 5 3" xfId="131" xr:uid="{ADC3E433-9167-4ABD-8510-255C854910EF}"/>
    <cellStyle name="Normal 5 4" xfId="129" xr:uid="{F8BB5DC8-7DFC-4DAE-8AD5-67CF1DB387AF}"/>
    <cellStyle name="Normal 6" xfId="14" xr:uid="{3AC7B8BF-6E6C-4A46-A117-60254B84217E}"/>
    <cellStyle name="Normal 6 2" xfId="133" xr:uid="{CFD1D1A7-7BFE-4562-BCC5-1D97A208489B}"/>
    <cellStyle name="Normal 6 3" xfId="132" xr:uid="{55D64E7B-D8CA-4253-8E20-BA2F4619E240}"/>
    <cellStyle name="Normal 7" xfId="134" xr:uid="{B35E1C1C-8B08-4664-B321-003C0402F020}"/>
    <cellStyle name="Normal 7 2" xfId="135" xr:uid="{DC9EB15B-88A6-4D86-9122-88C2EDB98C49}"/>
    <cellStyle name="Normal 8" xfId="136" xr:uid="{3B198F5B-904D-41ED-94C0-BE129B3505BC}"/>
    <cellStyle name="Normal 8 2" xfId="137" xr:uid="{71A010C0-D4B4-4C5F-86DC-2889BBA7C885}"/>
    <cellStyle name="Normal 9" xfId="138" xr:uid="{9E4AB38B-E44D-455B-BEB9-6A5623321862}"/>
    <cellStyle name="Normal 9 2" xfId="139" xr:uid="{B9F3D969-EB30-4FCB-838B-D4185389CB5A}"/>
    <cellStyle name="Normal_antet excel" xfId="9" xr:uid="{4F4E00B2-3712-4D5E-B430-C109F70FA6EA}"/>
    <cellStyle name="Normál_Gew04_Los3_T1" xfId="140" xr:uid="{815A5D38-07F1-4A67-A704-25F844845CCE}"/>
    <cellStyle name="Normal_Oferta mansardare" xfId="10" xr:uid="{B378F986-3248-4D22-B436-766B7AF47517}"/>
    <cellStyle name="Not" xfId="141" xr:uid="{624F6D23-2687-470B-B4BF-A5B6E1C50A71}"/>
    <cellStyle name="Option" xfId="142" xr:uid="{18598A73-48B5-40C4-A262-B44EFB9BA5A6}"/>
    <cellStyle name="OptionHeading" xfId="143" xr:uid="{99B29E0B-7329-412E-9950-CFE38576B9A8}"/>
    <cellStyle name="Percent [0]" xfId="144" xr:uid="{9A740E46-7534-46BB-99D4-296D56A32B43}"/>
    <cellStyle name="Percent [00]" xfId="145" xr:uid="{9DC8C249-CB49-4BE2-B2C5-5B5EAAEC3A8E}"/>
    <cellStyle name="Percent 2" xfId="146" xr:uid="{F4CDB806-F337-4B77-A52B-64FD2717ACDF}"/>
    <cellStyle name="PrePop Currency (0)" xfId="147" xr:uid="{34CCB73B-3C4A-4136-808D-78BA3D6A754D}"/>
    <cellStyle name="PrePop Currency (2)" xfId="148" xr:uid="{56E65D4D-2F2C-44DB-A749-91E88EF01986}"/>
    <cellStyle name="PrePop Units (0)" xfId="149" xr:uid="{FAFEB85E-6607-40F7-A460-40A31DA5BB94}"/>
    <cellStyle name="PrePop Units (1)" xfId="150" xr:uid="{16DB2712-DF9B-4F6B-BC31-9D8DB2242EC4}"/>
    <cellStyle name="PrePop Units (2)" xfId="151" xr:uid="{D8D0BA4B-7B5F-4EB6-8A28-D49E8E11F2D0}"/>
    <cellStyle name="Price" xfId="152" xr:uid="{15F26C3C-D42A-4176-BAC5-1D435F6F468D}"/>
    <cellStyle name="Standard_Gew03_Los3_T1_T2" xfId="153" xr:uid="{C47FF139-47B6-4AEC-8729-24D492E25489}"/>
    <cellStyle name="Stil 1" xfId="154" xr:uid="{F042935A-A82D-4680-900A-174DEF457753}"/>
    <cellStyle name="Text Indent A" xfId="155" xr:uid="{3DFECEEF-F622-4FED-9085-45E0AAD93774}"/>
    <cellStyle name="Text Indent B" xfId="156" xr:uid="{98EF3C75-8220-499E-9E6B-26116118549A}"/>
    <cellStyle name="Text Indent C" xfId="157" xr:uid="{3EE13090-B09E-4558-9252-ED9904D2A14F}"/>
    <cellStyle name="Toplam" xfId="158" xr:uid="{A425BF82-33E7-4DF0-BCB3-23B13A976208}"/>
    <cellStyle name="Unit" xfId="159" xr:uid="{91E0AF53-84CB-423E-83DB-B8FFDD4788DB}"/>
    <cellStyle name="Uyarı Metni" xfId="160" xr:uid="{DAE0E813-766C-4FB5-98D7-2F7F72DED344}"/>
    <cellStyle name="Valoare" xfId="11" xr:uid="{EC45A6C9-7894-4891-B0FA-E9C931DF8936}"/>
    <cellStyle name="Vertical" xfId="161" xr:uid="{F7A07BCA-3CF0-4BCA-8588-37FE3720C776}"/>
    <cellStyle name="Virgül [0]_ GEÇERLİ NET TEKLİF (2)" xfId="162" xr:uid="{7956FC7E-098E-4E24-B15A-83BD47EEA459}"/>
    <cellStyle name="Virgül_ GEÇERLİ NET TEKLİF (2)" xfId="163" xr:uid="{6E9B23C3-3EC3-4DC0-905F-F3E8BC5FF749}"/>
    <cellStyle name="Virgulă 2" xfId="165" xr:uid="{7FF55F21-BC3C-4550-A0F3-29A4B7B4900C}"/>
    <cellStyle name="Virgulă 3" xfId="164" xr:uid="{5A39A65E-E527-4BB5-B0ED-1C0DB1F23C1A}"/>
    <cellStyle name="Währung [0]_Software Project Status" xfId="166" xr:uid="{D1E5ECE3-DE56-4244-8BC7-72D987ED9125}"/>
    <cellStyle name="Währung_Software Project Status" xfId="167" xr:uid="{F31178F2-74B4-4FF5-81D6-BBA3EA6FBE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31B8-15C9-4171-B062-B51813CAFE2E}">
  <dimension ref="A1:H39"/>
  <sheetViews>
    <sheetView tabSelected="1" view="pageBreakPreview" zoomScale="85" zoomScaleNormal="85" zoomScaleSheetLayoutView="85" workbookViewId="0">
      <selection activeCell="I25" sqref="I25"/>
    </sheetView>
  </sheetViews>
  <sheetFormatPr defaultRowHeight="14.5"/>
  <cols>
    <col min="1" max="1" width="10.1796875" customWidth="1"/>
    <col min="2" max="2" width="72.1796875" customWidth="1"/>
    <col min="3" max="3" width="8.54296875" customWidth="1"/>
    <col min="4" max="4" width="9.1796875" customWidth="1"/>
    <col min="8" max="8" width="14.26953125" customWidth="1"/>
  </cols>
  <sheetData>
    <row r="1" spans="1:8">
      <c r="A1" s="1" t="s">
        <v>0</v>
      </c>
      <c r="B1" s="1"/>
      <c r="C1" s="2"/>
      <c r="D1" s="3"/>
      <c r="E1" s="4"/>
      <c r="F1" s="4"/>
      <c r="G1" s="4"/>
      <c r="H1" s="87" t="s">
        <v>66</v>
      </c>
    </row>
    <row r="2" spans="1:8">
      <c r="A2" s="5"/>
      <c r="B2" s="5"/>
      <c r="C2" s="6"/>
      <c r="D2" s="6"/>
      <c r="E2" s="7"/>
      <c r="F2" s="7"/>
      <c r="G2" s="7"/>
      <c r="H2" s="87"/>
    </row>
    <row r="3" spans="1:8">
      <c r="A3" s="84" t="s">
        <v>1</v>
      </c>
      <c r="B3" s="84"/>
      <c r="C3" s="9"/>
      <c r="D3" s="9"/>
      <c r="E3" s="10"/>
      <c r="F3" s="11"/>
      <c r="G3" s="11"/>
      <c r="H3" s="87"/>
    </row>
    <row r="4" spans="1:8" ht="15" customHeight="1">
      <c r="A4" s="84" t="s">
        <v>2</v>
      </c>
      <c r="B4" s="84"/>
      <c r="C4" s="12"/>
      <c r="D4" s="13"/>
      <c r="E4" s="14"/>
      <c r="F4" s="11"/>
      <c r="G4" s="11"/>
      <c r="H4" s="87"/>
    </row>
    <row r="5" spans="1:8" ht="15" customHeight="1">
      <c r="A5" s="16" t="s">
        <v>3</v>
      </c>
      <c r="B5" s="85" t="s">
        <v>42</v>
      </c>
      <c r="C5" s="85"/>
      <c r="D5" s="17"/>
      <c r="E5" s="14"/>
      <c r="F5" s="11"/>
      <c r="G5" s="11"/>
      <c r="H5" s="87"/>
    </row>
    <row r="6" spans="1:8" ht="15" customHeight="1">
      <c r="A6" s="8"/>
      <c r="B6" s="85"/>
      <c r="C6" s="85"/>
      <c r="D6" s="17"/>
      <c r="E6" s="14"/>
      <c r="F6" s="11"/>
      <c r="G6" s="11"/>
      <c r="H6" s="87"/>
    </row>
    <row r="7" spans="1:8" ht="15" customHeight="1">
      <c r="A7" s="8"/>
      <c r="B7" s="85"/>
      <c r="C7" s="85"/>
      <c r="D7" s="17"/>
      <c r="E7" s="14"/>
      <c r="F7" s="11"/>
      <c r="G7" s="11"/>
      <c r="H7" s="87"/>
    </row>
    <row r="8" spans="1:8" ht="15" customHeight="1">
      <c r="A8" s="8"/>
      <c r="B8" s="85"/>
      <c r="C8" s="85"/>
      <c r="D8" s="17"/>
      <c r="E8" s="14"/>
      <c r="F8" s="11"/>
      <c r="G8" s="11"/>
      <c r="H8" s="87"/>
    </row>
    <row r="9" spans="1:8" ht="15" customHeight="1">
      <c r="A9" s="8"/>
      <c r="B9" s="8"/>
      <c r="C9" s="12"/>
      <c r="D9" s="17"/>
      <c r="E9" s="15"/>
      <c r="F9" s="11"/>
      <c r="G9" s="11"/>
      <c r="H9" s="87"/>
    </row>
    <row r="10" spans="1:8">
      <c r="A10" s="18" t="s">
        <v>4</v>
      </c>
      <c r="B10" s="86" t="s">
        <v>41</v>
      </c>
      <c r="C10" s="86"/>
      <c r="D10" s="86"/>
      <c r="E10" s="86"/>
      <c r="F10" s="86"/>
      <c r="G10" s="86"/>
      <c r="H10" s="86"/>
    </row>
    <row r="11" spans="1:8">
      <c r="A11" s="78"/>
      <c r="B11" s="78"/>
      <c r="C11" s="9"/>
      <c r="D11" s="9"/>
      <c r="E11" s="15"/>
      <c r="F11" s="11"/>
      <c r="G11" s="11"/>
      <c r="H11" s="19"/>
    </row>
    <row r="12" spans="1:8">
      <c r="A12" s="78"/>
      <c r="B12" s="78"/>
      <c r="C12" s="9"/>
      <c r="D12" s="9"/>
      <c r="E12" s="83" t="s">
        <v>5</v>
      </c>
      <c r="F12" s="83"/>
      <c r="G12" s="83"/>
      <c r="H12" s="83"/>
    </row>
    <row r="13" spans="1:8">
      <c r="A13" s="78"/>
      <c r="B13" s="78"/>
      <c r="C13" s="9"/>
      <c r="D13" s="9"/>
      <c r="E13" s="79" t="str">
        <f>'F4'!E13</f>
        <v>ENGINEERING INSTALATION SYSTEMS</v>
      </c>
      <c r="F13" s="79"/>
      <c r="G13" s="79"/>
      <c r="H13" s="79"/>
    </row>
    <row r="14" spans="1:8">
      <c r="A14" s="15"/>
      <c r="B14" s="15"/>
      <c r="C14" s="15"/>
      <c r="D14" s="15"/>
      <c r="E14" s="15"/>
      <c r="F14" s="11"/>
      <c r="G14" s="11"/>
      <c r="H14" s="11"/>
    </row>
    <row r="15" spans="1:8">
      <c r="A15" s="15"/>
      <c r="B15" s="15"/>
      <c r="C15" s="15"/>
      <c r="D15" s="15"/>
      <c r="E15" s="15"/>
      <c r="F15" s="11"/>
      <c r="G15" s="11"/>
      <c r="H15" s="11"/>
    </row>
    <row r="16" spans="1:8">
      <c r="A16" s="80" t="s">
        <v>6</v>
      </c>
      <c r="B16" s="80"/>
      <c r="C16" s="80"/>
      <c r="D16" s="80"/>
      <c r="E16" s="80"/>
      <c r="F16" s="80"/>
      <c r="G16" s="80"/>
      <c r="H16" s="80"/>
    </row>
    <row r="17" spans="1:8">
      <c r="A17" s="81" t="s">
        <v>7</v>
      </c>
      <c r="B17" s="81"/>
      <c r="C17" s="81"/>
      <c r="D17" s="81"/>
      <c r="E17" s="81"/>
      <c r="F17" s="81"/>
      <c r="G17" s="81"/>
      <c r="H17" s="81"/>
    </row>
    <row r="18" spans="1:8">
      <c r="A18" s="20"/>
      <c r="B18" s="3"/>
      <c r="C18" s="3"/>
      <c r="D18" s="3"/>
      <c r="E18" s="3"/>
      <c r="F18" s="3"/>
      <c r="G18" s="3"/>
      <c r="H18" s="3"/>
    </row>
    <row r="19" spans="1:8">
      <c r="A19" s="78"/>
      <c r="B19" s="78"/>
      <c r="C19" s="78"/>
      <c r="D19" s="78"/>
      <c r="E19" s="78"/>
      <c r="F19" s="78"/>
      <c r="G19" s="78"/>
      <c r="H19" s="78"/>
    </row>
    <row r="20" spans="1:8">
      <c r="A20" s="82" t="s">
        <v>8</v>
      </c>
      <c r="B20" s="82"/>
      <c r="C20" s="82"/>
      <c r="D20" s="82"/>
      <c r="E20" s="82"/>
      <c r="F20" s="82"/>
      <c r="G20" s="82"/>
      <c r="H20" s="82"/>
    </row>
    <row r="21" spans="1:8">
      <c r="A21" s="21"/>
      <c r="B21" s="22"/>
      <c r="C21" s="22"/>
      <c r="D21" s="22"/>
      <c r="E21" s="22"/>
      <c r="F21" s="22"/>
      <c r="G21" s="22"/>
      <c r="H21" s="22"/>
    </row>
    <row r="22" spans="1:8" ht="15" thickBot="1">
      <c r="A22" s="77" t="s">
        <v>9</v>
      </c>
      <c r="B22" s="77"/>
      <c r="C22" s="77"/>
      <c r="D22" s="77"/>
      <c r="E22" s="77"/>
      <c r="F22" s="77"/>
      <c r="G22" s="77"/>
      <c r="H22" s="77"/>
    </row>
    <row r="23" spans="1:8" ht="15" thickBot="1">
      <c r="A23" s="23" t="s">
        <v>10</v>
      </c>
      <c r="B23" s="24" t="s">
        <v>11</v>
      </c>
      <c r="C23" s="24" t="s">
        <v>12</v>
      </c>
      <c r="D23" s="24" t="s">
        <v>13</v>
      </c>
      <c r="E23" s="25" t="s">
        <v>14</v>
      </c>
      <c r="F23" s="25" t="s">
        <v>15</v>
      </c>
      <c r="G23" s="25" t="s">
        <v>16</v>
      </c>
      <c r="H23" s="25" t="s">
        <v>43</v>
      </c>
    </row>
    <row r="24" spans="1:8">
      <c r="A24" s="31">
        <v>1</v>
      </c>
      <c r="B24" s="32" t="s">
        <v>60</v>
      </c>
      <c r="C24" s="33" t="s">
        <v>18</v>
      </c>
      <c r="D24" s="33">
        <v>7580</v>
      </c>
      <c r="E24" s="57"/>
      <c r="F24" s="58"/>
      <c r="G24" s="58"/>
      <c r="H24" s="68"/>
    </row>
    <row r="25" spans="1:8">
      <c r="A25" s="34">
        <v>2</v>
      </c>
      <c r="B25" s="30" t="s">
        <v>61</v>
      </c>
      <c r="C25" s="29" t="s">
        <v>18</v>
      </c>
      <c r="D25" s="29">
        <v>5800</v>
      </c>
      <c r="E25" s="59"/>
      <c r="F25" s="60"/>
      <c r="G25" s="60"/>
      <c r="H25" s="69"/>
    </row>
    <row r="26" spans="1:8">
      <c r="A26" s="34">
        <v>3</v>
      </c>
      <c r="B26" s="30" t="s">
        <v>56</v>
      </c>
      <c r="C26" s="29" t="s">
        <v>18</v>
      </c>
      <c r="D26" s="29">
        <v>1780</v>
      </c>
      <c r="E26" s="59"/>
      <c r="F26" s="60"/>
      <c r="G26" s="60"/>
      <c r="H26" s="69"/>
    </row>
    <row r="27" spans="1:8">
      <c r="A27" s="34">
        <v>4</v>
      </c>
      <c r="B27" s="30" t="s">
        <v>57</v>
      </c>
      <c r="C27" s="29" t="s">
        <v>18</v>
      </c>
      <c r="D27" s="29">
        <v>650</v>
      </c>
      <c r="E27" s="59"/>
      <c r="F27" s="60"/>
      <c r="G27" s="60"/>
      <c r="H27" s="69"/>
    </row>
    <row r="28" spans="1:8">
      <c r="A28" s="34">
        <v>5</v>
      </c>
      <c r="B28" s="30" t="s">
        <v>58</v>
      </c>
      <c r="C28" s="29" t="s">
        <v>18</v>
      </c>
      <c r="D28" s="29">
        <v>590</v>
      </c>
      <c r="E28" s="59"/>
      <c r="F28" s="60"/>
      <c r="G28" s="60"/>
      <c r="H28" s="69"/>
    </row>
    <row r="29" spans="1:8">
      <c r="A29" s="34">
        <v>6</v>
      </c>
      <c r="B29" s="30" t="s">
        <v>59</v>
      </c>
      <c r="C29" s="29" t="s">
        <v>18</v>
      </c>
      <c r="D29" s="29">
        <v>150</v>
      </c>
      <c r="E29" s="59"/>
      <c r="F29" s="60"/>
      <c r="G29" s="60"/>
      <c r="H29" s="69"/>
    </row>
    <row r="30" spans="1:8">
      <c r="A30" s="34">
        <v>7</v>
      </c>
      <c r="B30" s="30" t="s">
        <v>39</v>
      </c>
      <c r="C30" s="29" t="s">
        <v>19</v>
      </c>
      <c r="D30" s="29">
        <v>24</v>
      </c>
      <c r="E30" s="59"/>
      <c r="F30" s="60"/>
      <c r="G30" s="60"/>
      <c r="H30" s="69"/>
    </row>
    <row r="31" spans="1:8">
      <c r="A31" s="34">
        <v>8</v>
      </c>
      <c r="B31" s="30" t="s">
        <v>62</v>
      </c>
      <c r="C31" s="29" t="s">
        <v>19</v>
      </c>
      <c r="D31" s="29">
        <v>66</v>
      </c>
      <c r="E31" s="59"/>
      <c r="F31" s="60"/>
      <c r="G31" s="60"/>
      <c r="H31" s="69"/>
    </row>
    <row r="32" spans="1:8">
      <c r="A32" s="34">
        <v>9</v>
      </c>
      <c r="B32" s="30" t="s">
        <v>63</v>
      </c>
      <c r="C32" s="29" t="s">
        <v>18</v>
      </c>
      <c r="D32" s="29">
        <v>3500</v>
      </c>
      <c r="E32" s="59"/>
      <c r="F32" s="60"/>
      <c r="G32" s="60"/>
      <c r="H32" s="69"/>
    </row>
    <row r="33" spans="1:8">
      <c r="A33" s="34">
        <v>10</v>
      </c>
      <c r="B33" s="30" t="s">
        <v>20</v>
      </c>
      <c r="C33" s="29" t="s">
        <v>19</v>
      </c>
      <c r="D33" s="51">
        <v>75</v>
      </c>
      <c r="E33" s="59"/>
      <c r="F33" s="60"/>
      <c r="G33" s="60"/>
      <c r="H33" s="69"/>
    </row>
    <row r="34" spans="1:8">
      <c r="A34" s="34">
        <v>11</v>
      </c>
      <c r="B34" s="30" t="s">
        <v>22</v>
      </c>
      <c r="C34" s="29" t="s">
        <v>21</v>
      </c>
      <c r="D34" s="29">
        <v>1</v>
      </c>
      <c r="E34" s="59"/>
      <c r="F34" s="60"/>
      <c r="G34" s="60"/>
      <c r="H34" s="69"/>
    </row>
    <row r="35" spans="1:8">
      <c r="A35" s="34">
        <v>12</v>
      </c>
      <c r="B35" s="30" t="s">
        <v>23</v>
      </c>
      <c r="C35" s="29" t="s">
        <v>21</v>
      </c>
      <c r="D35" s="29">
        <v>1</v>
      </c>
      <c r="E35" s="59"/>
      <c r="F35" s="60"/>
      <c r="G35" s="60"/>
      <c r="H35" s="69"/>
    </row>
    <row r="36" spans="1:8">
      <c r="A36" s="34">
        <v>13</v>
      </c>
      <c r="B36" s="52" t="s">
        <v>64</v>
      </c>
      <c r="C36" s="29" t="s">
        <v>21</v>
      </c>
      <c r="D36" s="29">
        <v>1</v>
      </c>
      <c r="E36" s="59"/>
      <c r="F36" s="60"/>
      <c r="G36" s="60"/>
      <c r="H36" s="69"/>
    </row>
    <row r="37" spans="1:8" ht="15" thickBot="1">
      <c r="A37" s="39">
        <v>14</v>
      </c>
      <c r="B37" s="27" t="s">
        <v>30</v>
      </c>
      <c r="C37" s="28" t="s">
        <v>21</v>
      </c>
      <c r="D37" s="28">
        <v>1</v>
      </c>
      <c r="E37" s="70"/>
      <c r="F37" s="70"/>
      <c r="G37" s="71"/>
      <c r="H37" s="72"/>
    </row>
    <row r="38" spans="1:8" ht="15" thickBot="1">
      <c r="E38" s="75" t="s">
        <v>33</v>
      </c>
      <c r="F38" s="76"/>
      <c r="G38" s="76"/>
      <c r="H38" s="61">
        <f>SUM(H24:H37)</f>
        <v>0</v>
      </c>
    </row>
    <row r="39" spans="1:8">
      <c r="B39" s="73" t="s">
        <v>65</v>
      </c>
      <c r="H39" s="74"/>
    </row>
  </sheetData>
  <mergeCells count="16">
    <mergeCell ref="A12:B12"/>
    <mergeCell ref="E12:H12"/>
    <mergeCell ref="A3:B3"/>
    <mergeCell ref="A4:B4"/>
    <mergeCell ref="B5:C8"/>
    <mergeCell ref="B10:H10"/>
    <mergeCell ref="A11:B11"/>
    <mergeCell ref="H1:H9"/>
    <mergeCell ref="E38:G38"/>
    <mergeCell ref="A22:H22"/>
    <mergeCell ref="A13:B13"/>
    <mergeCell ref="E13:H13"/>
    <mergeCell ref="A16:H16"/>
    <mergeCell ref="A17:H17"/>
    <mergeCell ref="A19:H19"/>
    <mergeCell ref="A20:H20"/>
  </mergeCells>
  <pageMargins left="0.70000000000000007" right="0.70000000000000007" top="0.75" bottom="0.75" header="0.30000000000000004" footer="0.30000000000000004"/>
  <pageSetup scale="63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DF55-B3D1-43F3-8409-35106D30D898}">
  <dimension ref="A1:H46"/>
  <sheetViews>
    <sheetView view="pageBreakPreview" topLeftCell="A13" zoomScale="85" zoomScaleNormal="85" zoomScaleSheetLayoutView="85" workbookViewId="0">
      <selection activeCell="B53" sqref="B53"/>
    </sheetView>
  </sheetViews>
  <sheetFormatPr defaultRowHeight="14.5"/>
  <cols>
    <col min="1" max="1" width="8.54296875" customWidth="1"/>
    <col min="2" max="2" width="72.1796875" customWidth="1"/>
    <col min="3" max="3" width="8.54296875" customWidth="1"/>
    <col min="4" max="4" width="9.1796875" customWidth="1"/>
    <col min="5" max="5" width="10.54296875" style="38" bestFit="1" customWidth="1"/>
    <col min="6" max="6" width="9.54296875" style="38" bestFit="1" customWidth="1"/>
    <col min="7" max="7" width="10.81640625" style="38" bestFit="1" customWidth="1"/>
    <col min="8" max="8" width="11.54296875" style="38" bestFit="1" customWidth="1"/>
  </cols>
  <sheetData>
    <row r="1" spans="1:8">
      <c r="A1" s="1" t="s">
        <v>24</v>
      </c>
      <c r="B1" s="1"/>
      <c r="C1" s="2"/>
      <c r="D1" s="3"/>
      <c r="E1" s="4"/>
      <c r="F1" s="4"/>
      <c r="G1" s="7"/>
      <c r="H1" s="87" t="s">
        <v>66</v>
      </c>
    </row>
    <row r="2" spans="1:8">
      <c r="A2" s="5"/>
      <c r="B2" s="5"/>
      <c r="C2" s="6"/>
      <c r="D2" s="6"/>
      <c r="E2" s="7"/>
      <c r="F2" s="7"/>
      <c r="G2" s="7"/>
      <c r="H2" s="87"/>
    </row>
    <row r="3" spans="1:8">
      <c r="A3" s="84" t="s">
        <v>1</v>
      </c>
      <c r="B3" s="84"/>
      <c r="C3" s="9"/>
      <c r="D3" s="9"/>
      <c r="E3" s="35"/>
      <c r="F3" s="5"/>
      <c r="G3" s="35"/>
      <c r="H3" s="87"/>
    </row>
    <row r="4" spans="1:8" ht="15" customHeight="1">
      <c r="A4" s="84" t="s">
        <v>2</v>
      </c>
      <c r="B4" s="84"/>
      <c r="C4" s="12"/>
      <c r="D4" s="13"/>
      <c r="E4" s="35"/>
      <c r="F4" s="5"/>
      <c r="G4" s="35"/>
      <c r="H4" s="87"/>
    </row>
    <row r="5" spans="1:8" ht="15" customHeight="1">
      <c r="A5" s="16" t="s">
        <v>3</v>
      </c>
      <c r="B5" s="85" t="s">
        <v>42</v>
      </c>
      <c r="C5" s="85"/>
      <c r="D5" s="17"/>
      <c r="E5" s="35"/>
      <c r="F5" s="5"/>
      <c r="G5" s="37"/>
      <c r="H5" s="87"/>
    </row>
    <row r="6" spans="1:8" ht="15" customHeight="1">
      <c r="A6" s="8"/>
      <c r="B6" s="85"/>
      <c r="C6" s="85"/>
      <c r="D6" s="17"/>
      <c r="E6" s="35"/>
      <c r="F6" s="5"/>
      <c r="G6" s="37"/>
      <c r="H6" s="87"/>
    </row>
    <row r="7" spans="1:8" ht="15" customHeight="1">
      <c r="A7" s="8"/>
      <c r="B7" s="85"/>
      <c r="C7" s="85"/>
      <c r="D7" s="17"/>
      <c r="E7" s="35"/>
      <c r="F7" s="5"/>
      <c r="G7" s="37"/>
      <c r="H7" s="87"/>
    </row>
    <row r="8" spans="1:8" ht="15" customHeight="1">
      <c r="A8" s="8"/>
      <c r="B8" s="85"/>
      <c r="C8" s="85"/>
      <c r="D8" s="17"/>
      <c r="E8" s="35"/>
      <c r="F8" s="5"/>
      <c r="G8" s="36"/>
      <c r="H8" s="87"/>
    </row>
    <row r="9" spans="1:8" ht="15" customHeight="1">
      <c r="A9" s="8"/>
      <c r="B9" s="8"/>
      <c r="C9" s="12"/>
      <c r="D9" s="17"/>
      <c r="E9" s="35"/>
      <c r="F9" s="5"/>
      <c r="G9" s="36"/>
      <c r="H9" s="87"/>
    </row>
    <row r="10" spans="1:8">
      <c r="A10" s="18" t="s">
        <v>4</v>
      </c>
      <c r="B10" s="86" t="s">
        <v>41</v>
      </c>
      <c r="C10" s="86"/>
      <c r="D10" s="86"/>
      <c r="E10" s="86"/>
      <c r="F10" s="86"/>
      <c r="G10" s="86"/>
      <c r="H10" s="5"/>
    </row>
    <row r="11" spans="1:8">
      <c r="A11" s="78"/>
      <c r="B11" s="78"/>
      <c r="C11" s="9"/>
      <c r="D11" s="9"/>
      <c r="E11" s="35"/>
      <c r="F11" s="5"/>
      <c r="G11" s="36"/>
      <c r="H11" s="5"/>
    </row>
    <row r="12" spans="1:8">
      <c r="A12" s="78"/>
      <c r="B12" s="78"/>
      <c r="C12" s="9"/>
      <c r="D12" s="9"/>
      <c r="E12" s="83" t="s">
        <v>5</v>
      </c>
      <c r="F12" s="83"/>
      <c r="G12" s="83"/>
      <c r="H12" s="83"/>
    </row>
    <row r="13" spans="1:8">
      <c r="A13" s="78"/>
      <c r="B13" s="78"/>
      <c r="C13" s="9"/>
      <c r="D13" s="9"/>
      <c r="E13" s="96" t="s">
        <v>40</v>
      </c>
      <c r="F13" s="96"/>
      <c r="G13" s="96"/>
      <c r="H13" s="96"/>
    </row>
    <row r="14" spans="1:8">
      <c r="A14" s="15"/>
      <c r="B14" s="15"/>
      <c r="C14" s="15"/>
      <c r="D14" s="15"/>
      <c r="E14" s="35"/>
      <c r="F14" s="5"/>
      <c r="G14" s="5"/>
      <c r="H14" s="5"/>
    </row>
    <row r="15" spans="1:8">
      <c r="A15" s="15"/>
      <c r="B15" s="15"/>
      <c r="C15" s="15"/>
      <c r="D15" s="15"/>
      <c r="E15" s="35"/>
      <c r="F15" s="5"/>
      <c r="G15" s="5"/>
      <c r="H15" s="5"/>
    </row>
    <row r="16" spans="1:8">
      <c r="A16" s="80" t="s">
        <v>6</v>
      </c>
      <c r="B16" s="80"/>
      <c r="C16" s="80"/>
      <c r="D16" s="80"/>
      <c r="E16" s="80"/>
      <c r="F16" s="80"/>
      <c r="G16" s="80"/>
      <c r="H16" s="80"/>
    </row>
    <row r="17" spans="1:8">
      <c r="A17" s="81" t="s">
        <v>7</v>
      </c>
      <c r="B17" s="81"/>
      <c r="C17" s="81"/>
      <c r="D17" s="81"/>
      <c r="E17" s="81"/>
      <c r="F17" s="81"/>
      <c r="G17" s="81"/>
      <c r="H17" s="81"/>
    </row>
    <row r="18" spans="1:8">
      <c r="A18" s="20"/>
      <c r="B18" s="3"/>
      <c r="C18" s="3"/>
      <c r="D18" s="3"/>
      <c r="E18" s="3"/>
      <c r="F18" s="3"/>
      <c r="G18" s="3"/>
      <c r="H18" s="3"/>
    </row>
    <row r="19" spans="1:8">
      <c r="A19" s="78"/>
      <c r="B19" s="78"/>
      <c r="C19" s="78"/>
      <c r="D19" s="78"/>
      <c r="E19" s="78"/>
      <c r="F19" s="78"/>
      <c r="G19" s="78"/>
      <c r="H19" s="78"/>
    </row>
    <row r="20" spans="1:8">
      <c r="A20" s="82" t="s">
        <v>8</v>
      </c>
      <c r="B20" s="82"/>
      <c r="C20" s="82"/>
      <c r="D20" s="82"/>
      <c r="E20" s="82"/>
      <c r="F20" s="82"/>
      <c r="G20" s="82"/>
      <c r="H20" s="82"/>
    </row>
    <row r="21" spans="1:8">
      <c r="A21" s="21"/>
      <c r="B21" s="22"/>
      <c r="C21" s="22"/>
      <c r="D21" s="22"/>
      <c r="E21" s="20"/>
      <c r="F21" s="20"/>
      <c r="G21" s="20"/>
      <c r="H21" s="20"/>
    </row>
    <row r="22" spans="1:8" ht="15" thickBot="1">
      <c r="A22" s="77" t="s">
        <v>9</v>
      </c>
      <c r="B22" s="77"/>
      <c r="C22" s="77"/>
      <c r="D22" s="77"/>
      <c r="E22" s="77"/>
      <c r="F22" s="77"/>
      <c r="G22" s="77"/>
      <c r="H22" s="77"/>
    </row>
    <row r="23" spans="1:8" ht="26.5" thickBot="1">
      <c r="A23" s="23" t="s">
        <v>10</v>
      </c>
      <c r="B23" s="24" t="s">
        <v>11</v>
      </c>
      <c r="C23" s="24" t="s">
        <v>12</v>
      </c>
      <c r="D23" s="24" t="s">
        <v>13</v>
      </c>
      <c r="E23" s="25" t="s">
        <v>14</v>
      </c>
      <c r="F23" s="25" t="s">
        <v>15</v>
      </c>
      <c r="G23" s="25" t="s">
        <v>16</v>
      </c>
      <c r="H23" s="26" t="s">
        <v>17</v>
      </c>
    </row>
    <row r="24" spans="1:8">
      <c r="A24" s="45">
        <v>1</v>
      </c>
      <c r="B24" s="46" t="s">
        <v>31</v>
      </c>
      <c r="C24" s="88"/>
      <c r="D24" s="88"/>
      <c r="E24" s="88"/>
      <c r="F24" s="88"/>
      <c r="G24" s="88"/>
      <c r="H24" s="89"/>
    </row>
    <row r="25" spans="1:8">
      <c r="A25" s="29">
        <v>1.1000000000000001</v>
      </c>
      <c r="B25" s="30" t="s">
        <v>44</v>
      </c>
      <c r="C25" s="29" t="s">
        <v>19</v>
      </c>
      <c r="D25" s="44">
        <v>16</v>
      </c>
      <c r="E25" s="44">
        <v>37.5</v>
      </c>
      <c r="F25" s="44">
        <v>22.5</v>
      </c>
      <c r="G25" s="44">
        <f>F25+E25</f>
        <v>60</v>
      </c>
      <c r="H25" s="44">
        <f>G25*D25</f>
        <v>960</v>
      </c>
    </row>
    <row r="26" spans="1:8">
      <c r="A26" s="29" t="s">
        <v>45</v>
      </c>
      <c r="B26" s="30" t="s">
        <v>46</v>
      </c>
      <c r="C26" s="29" t="s">
        <v>19</v>
      </c>
      <c r="D26" s="44">
        <v>1</v>
      </c>
      <c r="E26" s="44">
        <v>1156.25</v>
      </c>
      <c r="F26" s="44">
        <v>62.5</v>
      </c>
      <c r="G26" s="44">
        <f>F26+E26</f>
        <v>1218.75</v>
      </c>
      <c r="H26" s="44">
        <f>G26*D26</f>
        <v>1218.75</v>
      </c>
    </row>
    <row r="27" spans="1:8">
      <c r="A27" s="29">
        <v>1.2</v>
      </c>
      <c r="B27" s="30" t="s">
        <v>47</v>
      </c>
      <c r="C27" s="29" t="s">
        <v>19</v>
      </c>
      <c r="D27" s="44">
        <v>14</v>
      </c>
      <c r="E27" s="44">
        <v>177.5</v>
      </c>
      <c r="F27" s="44">
        <v>32.5</v>
      </c>
      <c r="G27" s="44">
        <f t="shared" ref="G27:G30" si="0">F27+E27</f>
        <v>210</v>
      </c>
      <c r="H27" s="44">
        <f t="shared" ref="H27:H30" si="1">G27*D27</f>
        <v>2940</v>
      </c>
    </row>
    <row r="28" spans="1:8">
      <c r="A28" s="29">
        <v>1.3</v>
      </c>
      <c r="B28" s="30" t="s">
        <v>48</v>
      </c>
      <c r="C28" s="29" t="s">
        <v>19</v>
      </c>
      <c r="D28" s="44">
        <v>30</v>
      </c>
      <c r="E28" s="44">
        <v>206.25</v>
      </c>
      <c r="F28" s="44">
        <v>22.5</v>
      </c>
      <c r="G28" s="44">
        <f>F28+E28</f>
        <v>228.75</v>
      </c>
      <c r="H28" s="44">
        <f>G28*D28</f>
        <v>6862.5</v>
      </c>
    </row>
    <row r="29" spans="1:8" ht="25">
      <c r="A29" s="29">
        <v>1.4</v>
      </c>
      <c r="B29" s="30" t="s">
        <v>49</v>
      </c>
      <c r="C29" s="29" t="s">
        <v>19</v>
      </c>
      <c r="D29" s="44">
        <v>26</v>
      </c>
      <c r="E29" s="44">
        <v>127.5</v>
      </c>
      <c r="F29" s="44">
        <v>22.5</v>
      </c>
      <c r="G29" s="44">
        <f t="shared" si="0"/>
        <v>150</v>
      </c>
      <c r="H29" s="44">
        <f t="shared" si="1"/>
        <v>3900</v>
      </c>
    </row>
    <row r="30" spans="1:8">
      <c r="A30" s="29">
        <v>1.5</v>
      </c>
      <c r="B30" s="30" t="s">
        <v>50</v>
      </c>
      <c r="C30" s="29" t="s">
        <v>19</v>
      </c>
      <c r="D30" s="44">
        <v>40</v>
      </c>
      <c r="E30" s="44">
        <v>269.375</v>
      </c>
      <c r="F30" s="44">
        <v>32.5</v>
      </c>
      <c r="G30" s="44">
        <f t="shared" si="0"/>
        <v>301.875</v>
      </c>
      <c r="H30" s="44">
        <f t="shared" si="1"/>
        <v>12075</v>
      </c>
    </row>
    <row r="31" spans="1:8">
      <c r="A31" s="29">
        <v>1.6</v>
      </c>
      <c r="B31" s="30" t="s">
        <v>51</v>
      </c>
      <c r="C31" s="29" t="s">
        <v>19</v>
      </c>
      <c r="D31" s="44">
        <v>2</v>
      </c>
      <c r="E31" s="44">
        <v>37.5</v>
      </c>
      <c r="F31" s="44">
        <v>18.5</v>
      </c>
      <c r="G31" s="44">
        <f>F31+E31</f>
        <v>56</v>
      </c>
      <c r="H31" s="44">
        <f>G31*D31</f>
        <v>112</v>
      </c>
    </row>
    <row r="32" spans="1:8">
      <c r="A32" s="42">
        <v>2</v>
      </c>
      <c r="B32" s="43" t="s">
        <v>27</v>
      </c>
      <c r="C32" s="90"/>
      <c r="D32" s="90"/>
      <c r="E32" s="90"/>
      <c r="F32" s="90"/>
      <c r="G32" s="90"/>
      <c r="H32" s="91"/>
    </row>
    <row r="33" spans="1:8">
      <c r="A33" s="63">
        <v>2.1</v>
      </c>
      <c r="B33" s="64" t="s">
        <v>52</v>
      </c>
      <c r="C33" s="29" t="s">
        <v>19</v>
      </c>
      <c r="D33" s="50">
        <v>1</v>
      </c>
      <c r="E33" s="44">
        <v>4831.25</v>
      </c>
      <c r="F33" s="44">
        <v>210</v>
      </c>
      <c r="G33" s="44">
        <f t="shared" ref="G33" si="2">F33+E33</f>
        <v>5041.25</v>
      </c>
      <c r="H33" s="47">
        <f t="shared" ref="H33" si="3">G33*D33</f>
        <v>5041.25</v>
      </c>
    </row>
    <row r="34" spans="1:8" ht="37.5">
      <c r="A34" s="34">
        <v>2.4</v>
      </c>
      <c r="B34" s="30" t="s">
        <v>53</v>
      </c>
      <c r="C34" s="29" t="s">
        <v>19</v>
      </c>
      <c r="D34" s="50">
        <v>1</v>
      </c>
      <c r="E34" s="44">
        <v>5312.5</v>
      </c>
      <c r="F34" s="44">
        <v>625</v>
      </c>
      <c r="G34" s="44">
        <f t="shared" ref="G34:G35" si="4">F34+E34</f>
        <v>5937.5</v>
      </c>
      <c r="H34" s="47">
        <f t="shared" ref="H34:H35" si="5">G34*D34</f>
        <v>5937.5</v>
      </c>
    </row>
    <row r="35" spans="1:8">
      <c r="A35" s="34">
        <v>2.5</v>
      </c>
      <c r="B35" s="30" t="s">
        <v>37</v>
      </c>
      <c r="C35" s="29" t="s">
        <v>19</v>
      </c>
      <c r="D35" s="50">
        <v>1</v>
      </c>
      <c r="E35" s="44">
        <v>1562.5</v>
      </c>
      <c r="F35" s="44">
        <v>0</v>
      </c>
      <c r="G35" s="44">
        <f t="shared" si="4"/>
        <v>1562.5</v>
      </c>
      <c r="H35" s="47">
        <f t="shared" si="5"/>
        <v>1562.5</v>
      </c>
    </row>
    <row r="36" spans="1:8" ht="15" thickBot="1">
      <c r="A36" s="65" t="s">
        <v>54</v>
      </c>
      <c r="B36" s="52" t="s">
        <v>36</v>
      </c>
      <c r="C36" s="53" t="s">
        <v>19</v>
      </c>
      <c r="D36" s="54">
        <v>1</v>
      </c>
      <c r="E36" s="44">
        <v>4062.5</v>
      </c>
      <c r="F36" s="44">
        <v>85.5</v>
      </c>
      <c r="G36" s="44">
        <f t="shared" ref="G36" si="6">F36+E36</f>
        <v>4148</v>
      </c>
      <c r="H36" s="47">
        <f t="shared" ref="H36" si="7">G36*D36</f>
        <v>4148</v>
      </c>
    </row>
    <row r="37" spans="1:8">
      <c r="A37" s="55">
        <v>3</v>
      </c>
      <c r="B37" s="56" t="s">
        <v>32</v>
      </c>
      <c r="C37" s="94"/>
      <c r="D37" s="94"/>
      <c r="E37" s="94"/>
      <c r="F37" s="94"/>
      <c r="G37" s="94"/>
      <c r="H37" s="95"/>
    </row>
    <row r="38" spans="1:8">
      <c r="A38" s="63">
        <v>3.1</v>
      </c>
      <c r="B38" s="64" t="s">
        <v>28</v>
      </c>
      <c r="C38" s="66" t="s">
        <v>21</v>
      </c>
      <c r="D38" s="44">
        <v>1</v>
      </c>
      <c r="E38" s="44">
        <v>0</v>
      </c>
      <c r="F38" s="44">
        <v>925</v>
      </c>
      <c r="G38" s="44">
        <f t="shared" ref="G38" si="8">F38+E38</f>
        <v>925</v>
      </c>
      <c r="H38" s="47">
        <f t="shared" ref="H38" si="9">G38*D38</f>
        <v>925</v>
      </c>
    </row>
    <row r="39" spans="1:8">
      <c r="A39" s="34">
        <v>3.2</v>
      </c>
      <c r="B39" s="30" t="s">
        <v>25</v>
      </c>
      <c r="C39" s="29" t="s">
        <v>21</v>
      </c>
      <c r="D39" s="44">
        <v>1</v>
      </c>
      <c r="E39" s="44">
        <v>0</v>
      </c>
      <c r="F39" s="44">
        <v>850</v>
      </c>
      <c r="G39" s="44">
        <f t="shared" ref="G39:G45" si="10">F39+E39</f>
        <v>850</v>
      </c>
      <c r="H39" s="47">
        <f t="shared" ref="H39:H45" si="11">G39*D39</f>
        <v>850</v>
      </c>
    </row>
    <row r="40" spans="1:8">
      <c r="A40" s="34">
        <v>3.3</v>
      </c>
      <c r="B40" s="30" t="s">
        <v>26</v>
      </c>
      <c r="C40" s="29" t="s">
        <v>21</v>
      </c>
      <c r="D40" s="44">
        <v>1</v>
      </c>
      <c r="E40" s="44">
        <v>0</v>
      </c>
      <c r="F40" s="44">
        <v>850</v>
      </c>
      <c r="G40" s="44">
        <f t="shared" si="10"/>
        <v>850</v>
      </c>
      <c r="H40" s="47">
        <f t="shared" si="11"/>
        <v>850</v>
      </c>
    </row>
    <row r="41" spans="1:8">
      <c r="A41" s="34">
        <v>3.4</v>
      </c>
      <c r="B41" s="30" t="s">
        <v>34</v>
      </c>
      <c r="C41" s="29" t="s">
        <v>21</v>
      </c>
      <c r="D41" s="44">
        <v>1</v>
      </c>
      <c r="E41" s="44">
        <v>0</v>
      </c>
      <c r="F41" s="44">
        <v>1850</v>
      </c>
      <c r="G41" s="44">
        <f t="shared" si="10"/>
        <v>1850</v>
      </c>
      <c r="H41" s="47">
        <f t="shared" si="11"/>
        <v>1850</v>
      </c>
    </row>
    <row r="42" spans="1:8">
      <c r="A42" s="34">
        <v>3.5</v>
      </c>
      <c r="B42" s="30" t="s">
        <v>55</v>
      </c>
      <c r="C42" s="29" t="s">
        <v>21</v>
      </c>
      <c r="D42" s="44">
        <v>1</v>
      </c>
      <c r="E42" s="44">
        <v>0</v>
      </c>
      <c r="F42" s="44">
        <v>2100</v>
      </c>
      <c r="G42" s="44">
        <f t="shared" si="10"/>
        <v>2100</v>
      </c>
      <c r="H42" s="47">
        <f t="shared" si="11"/>
        <v>2100</v>
      </c>
    </row>
    <row r="43" spans="1:8">
      <c r="A43" s="34">
        <v>3.6</v>
      </c>
      <c r="B43" s="30" t="s">
        <v>35</v>
      </c>
      <c r="C43" s="29" t="s">
        <v>21</v>
      </c>
      <c r="D43" s="44">
        <v>1</v>
      </c>
      <c r="E43" s="44">
        <v>0</v>
      </c>
      <c r="F43" s="44">
        <v>350</v>
      </c>
      <c r="G43" s="44">
        <f t="shared" si="10"/>
        <v>350</v>
      </c>
      <c r="H43" s="47">
        <f t="shared" si="11"/>
        <v>350</v>
      </c>
    </row>
    <row r="44" spans="1:8">
      <c r="A44" s="34">
        <v>3.7</v>
      </c>
      <c r="B44" s="30" t="s">
        <v>38</v>
      </c>
      <c r="C44" s="29" t="s">
        <v>21</v>
      </c>
      <c r="D44" s="67">
        <v>1</v>
      </c>
      <c r="E44" s="44">
        <v>1187.5</v>
      </c>
      <c r="F44" s="44">
        <v>0</v>
      </c>
      <c r="G44" s="44">
        <f t="shared" ref="G44" si="12">F44+E44</f>
        <v>1187.5</v>
      </c>
      <c r="H44" s="47">
        <f t="shared" ref="H44" si="13">G44*D44</f>
        <v>1187.5</v>
      </c>
    </row>
    <row r="45" spans="1:8" ht="15" thickBot="1">
      <c r="A45" s="39">
        <v>3.8</v>
      </c>
      <c r="B45" s="40" t="s">
        <v>29</v>
      </c>
      <c r="C45" s="41" t="s">
        <v>19</v>
      </c>
      <c r="D45" s="48">
        <v>1</v>
      </c>
      <c r="E45" s="48">
        <v>4062.5</v>
      </c>
      <c r="F45" s="48">
        <v>0</v>
      </c>
      <c r="G45" s="48">
        <f t="shared" si="10"/>
        <v>4062.5</v>
      </c>
      <c r="H45" s="49">
        <f t="shared" si="11"/>
        <v>4062.5</v>
      </c>
    </row>
    <row r="46" spans="1:8" ht="15" thickBot="1">
      <c r="F46" s="92" t="s">
        <v>33</v>
      </c>
      <c r="G46" s="93"/>
      <c r="H46" s="62">
        <f>SUM(H25:H31,H33:H36,H38:H45)</f>
        <v>56932.5</v>
      </c>
    </row>
  </sheetData>
  <mergeCells count="19">
    <mergeCell ref="F46:G46"/>
    <mergeCell ref="C37:H37"/>
    <mergeCell ref="A13:B13"/>
    <mergeCell ref="E13:H13"/>
    <mergeCell ref="A16:H16"/>
    <mergeCell ref="A17:H17"/>
    <mergeCell ref="A19:H19"/>
    <mergeCell ref="A20:H20"/>
    <mergeCell ref="A22:H22"/>
    <mergeCell ref="A11:B11"/>
    <mergeCell ref="C24:H24"/>
    <mergeCell ref="C32:H32"/>
    <mergeCell ref="A12:B12"/>
    <mergeCell ref="E12:H12"/>
    <mergeCell ref="H1:H9"/>
    <mergeCell ref="A3:B3"/>
    <mergeCell ref="A4:B4"/>
    <mergeCell ref="B5:C8"/>
    <mergeCell ref="B10:G10"/>
  </mergeCells>
  <pageMargins left="0.70000000000000007" right="0.70000000000000007" top="0.75" bottom="0.75" header="0.30000000000000004" footer="0.30000000000000004"/>
  <pageSetup scale="63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F3</vt:lpstr>
      <vt:lpstr>F4</vt:lpstr>
      <vt:lpstr>'F3'!Print_Area</vt:lpstr>
      <vt:lpstr>'F4'!Print_Area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</dc:creator>
  <cp:lastModifiedBy>Andrei-Iulian GHIȚĂ (133211)</cp:lastModifiedBy>
  <cp:lastPrinted>2025-09-04T13:03:57Z</cp:lastPrinted>
  <dcterms:created xsi:type="dcterms:W3CDTF">2025-03-06T10:41:03Z</dcterms:created>
  <dcterms:modified xsi:type="dcterms:W3CDTF">2026-10-02T10:29:34Z</dcterms:modified>
</cp:coreProperties>
</file>